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imentos" sheetId="2" state="visible" r:id="rId2"/>
    <sheet name="Para subir" sheetId="3" state="visible" r:id="rId3"/>
  </sheets>
  <definedNames>
    <definedName name="_xlnm._FilterDatabase" localSheetId="1" hidden="1">'Alimentos'!$A$1:$N$255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i val="1"/>
      <color rgb="00808080"/>
      <sz val="10"/>
    </font>
    <font>
      <name val="Arial"/>
      <b val="1"/>
      <sz val="10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165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164" fontId="2" fillId="3" borderId="1" pivotButton="0" quotePrefix="0" xfId="0"/>
    <xf numFmtId="1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vertical="center"/>
    </xf>
    <xf numFmtId="164" fontId="3" fillId="4" borderId="1" pivotButton="0" quotePrefix="0" xfId="0"/>
    <xf numFmtId="0" fontId="4" fillId="4" borderId="1" pivotButton="0" quotePrefix="0" xfId="0"/>
    <xf numFmtId="0" fontId="3" fillId="4" borderId="1" applyAlignment="1" pivotButton="0" quotePrefix="0" xfId="0">
      <alignment vertical="center"/>
    </xf>
    <xf numFmtId="1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vertical="center"/>
    </xf>
    <xf numFmtId="164" fontId="5" fillId="5" borderId="1" pivotButton="0" quotePrefix="0" xfId="0"/>
    <xf numFmtId="1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3" fillId="0" borderId="0" pivotButton="0" quotePrefix="0" xfId="0"/>
    <xf numFmtId="0" fontId="5" fillId="0" borderId="0" pivotButton="0" quotePrefix="0" xfId="0"/>
    <xf numFmtId="164" fontId="2" fillId="0" borderId="1" pivotButton="0" quotePrefix="0" xfId="0"/>
    <xf numFmtId="1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Alimentos mais adquiridos no Brasil x base do Marchewski App</t>
        </is>
      </c>
    </row>
    <row r="2">
      <c r="A2" s="2" t="inlineStr">
        <is>
          <t>POF 2017-2018 (IBGE) cruzada com a tabela de alimentos do app</t>
        </is>
      </c>
    </row>
    <row r="3">
      <c r="A3" s="2" t="inlineStr"/>
    </row>
    <row r="4">
      <c r="A4" s="3" t="inlineStr">
        <is>
          <t>COMO ESTE RANKING FOI FEITO</t>
        </is>
      </c>
    </row>
    <row r="5">
      <c r="A5" s="2" t="inlineStr">
        <is>
          <t>Não existe ranking público de 'mais vendidos' por categoria no Brasil — esse dado é</t>
        </is>
      </c>
    </row>
    <row r="6">
      <c r="A6" s="2" t="inlineStr">
        <is>
          <t>proprietário (Nielsen, Kantar, ABRAS). O que existe e é oficial: a POF do IBGE, que mede</t>
        </is>
      </c>
    </row>
    <row r="7">
      <c r="A7" s="2" t="inlineStr">
        <is>
          <t>a aquisição alimentar domiciliar per capita anual em kg/pessoa/ano, produto a produto.</t>
        </is>
      </c>
    </row>
    <row r="8">
      <c r="A8" s="2" t="inlineStr">
        <is>
          <t>É o dado público mais próximo de 'o que o brasileiro mais compra'.</t>
        </is>
      </c>
    </row>
    <row r="9">
      <c r="A9" s="2" t="inlineStr"/>
    </row>
    <row r="10">
      <c r="A10" s="2" t="inlineStr">
        <is>
          <t>Fonte: IBGE, POF 2017-2018 — SIDRA tabela 2393, variável 1207, período 2018, Brasil.</t>
        </is>
      </c>
    </row>
    <row r="11">
      <c r="A11" s="2" t="inlineStr">
        <is>
          <t>https://sidra.ibge.gov.br/tabela/2393</t>
        </is>
      </c>
    </row>
    <row r="12">
      <c r="A12" s="2" t="inlineStr"/>
    </row>
    <row r="13">
      <c r="A13" s="2" t="inlineStr">
        <is>
          <t>A POF traz 329 linhas de produto. 75 delas são resíduo estatístico ('Outros',</t>
        </is>
      </c>
    </row>
    <row r="14">
      <c r="A14" s="2" t="inlineStr">
        <is>
          <t>'não especificado') e não são alimento prescritível — foram excluídas. Sobraram 254.</t>
        </is>
      </c>
    </row>
    <row r="15">
      <c r="A15" s="2" t="inlineStr"/>
    </row>
    <row r="16">
      <c r="A16" s="2" t="inlineStr">
        <is>
          <t>A POF tem entre 3 e 46 produtos por grupo; nenhum grupo chega a 50. Por isso a planilha</t>
        </is>
      </c>
    </row>
    <row r="17">
      <c r="A17" s="2" t="inlineStr">
        <is>
          <t>traz todos os produtos de cada grupo, e não um corte de 50 (que exigiria inventar item).</t>
        </is>
      </c>
    </row>
    <row r="18">
      <c r="A18" s="2" t="inlineStr"/>
    </row>
    <row r="19">
      <c r="A19" s="2" t="inlineStr">
        <is>
          <t>VALORES NUTRICIONAIS (por 100 g)</t>
        </is>
      </c>
    </row>
    <row r="20">
      <c r="A20" s="2" t="inlineStr">
        <is>
          <t>Itens já no app: valor que está cadastrado hoje (TACO/NEPA-UNICAMP ou levantamento anterior).</t>
        </is>
      </c>
    </row>
    <row r="21">
      <c r="A21" s="2" t="inlineStr">
        <is>
          <t>Itens que faltam: pesquisados agora na TBCA (USP/FoRC) e no USDA FoodData Central,</t>
        </is>
      </c>
    </row>
    <row r="22">
      <c r="A22" s="2" t="inlineStr">
        <is>
          <t>com conferência cruzada onde as duas fontes tinham o mesmo item.</t>
        </is>
      </c>
    </row>
    <row r="24">
      <c r="A24" s="3" t="inlineStr">
        <is>
          <t>CONTAGEM</t>
        </is>
      </c>
    </row>
    <row r="25">
      <c r="A25" s="4" t="inlineStr">
        <is>
          <t>Situação</t>
        </is>
      </c>
      <c r="B25" s="4" t="inlineStr">
        <is>
          <t>Qtd de produtos</t>
        </is>
      </c>
      <c r="C25" s="4" t="inlineStr">
        <is>
          <t>% do total</t>
        </is>
      </c>
    </row>
    <row r="26">
      <c r="A26" s="5" t="inlineStr">
        <is>
          <t>Já no app</t>
        </is>
      </c>
      <c r="B26" s="6">
        <f>COUNTIF(Alimentos!$E$2:$E$255,"Já no app")</f>
        <v/>
      </c>
      <c r="C26" s="7">
        <f>B26/$B$29</f>
        <v/>
      </c>
    </row>
    <row r="27">
      <c r="A27" s="6" t="inlineStr">
        <is>
          <t>Falta subir</t>
        </is>
      </c>
      <c r="B27" s="6">
        <f>COUNTIF(Alimentos!$E$2:$E$255,"Falta subir")</f>
        <v/>
      </c>
      <c r="C27" s="7">
        <f>B27/$B$29</f>
        <v/>
      </c>
    </row>
    <row r="28">
      <c r="A28" s="6" t="inlineStr">
        <is>
          <t>Sem fonte confiável</t>
        </is>
      </c>
      <c r="B28" s="6">
        <f>COUNTIF(Alimentos!$E$2:$E$255,"Sem fonte")</f>
        <v/>
      </c>
      <c r="C28" s="7">
        <f>B28/$B$29</f>
        <v/>
      </c>
    </row>
    <row r="29">
      <c r="A29" s="8" t="inlineStr">
        <is>
          <t>TOTAL</t>
        </is>
      </c>
      <c r="B29" s="8">
        <f>SUM(B26:B28)</f>
        <v/>
      </c>
      <c r="C29" s="9">
        <f>B29/$B$29</f>
        <v/>
      </c>
    </row>
    <row r="31">
      <c r="A31" s="3" t="inlineStr">
        <is>
          <t>POR GRUPO DA POF</t>
        </is>
      </c>
    </row>
    <row r="32">
      <c r="A32" s="4" t="inlineStr">
        <is>
          <t>Grupo</t>
        </is>
      </c>
      <c r="B32" s="4" t="inlineStr">
        <is>
          <t>Produtos</t>
        </is>
      </c>
      <c r="C32" s="4" t="inlineStr">
        <is>
          <t>Já no app</t>
        </is>
      </c>
      <c r="D32" s="4" t="inlineStr">
        <is>
          <t>Falta subir</t>
        </is>
      </c>
      <c r="E32" s="4" t="inlineStr">
        <is>
          <t>kg/pessoa/ano</t>
        </is>
      </c>
    </row>
    <row r="33">
      <c r="A33" s="6" t="inlineStr">
        <is>
          <t>Bebidas e infusões</t>
        </is>
      </c>
      <c r="B33" s="6">
        <f>COUNTIF(Alimentos!$A$2:$A$255,$A33)</f>
        <v/>
      </c>
      <c r="C33" s="5">
        <f>COUNTIFS(Alimentos!$A$2:$A$255,$A33,Alimentos!$E$2:$E$255,"Já no app")</f>
        <v/>
      </c>
      <c r="D33" s="6">
        <f>COUNTIFS(Alimentos!$A$2:$A$255,$A33,Alimentos!$E$2:$E$255,"Falta subir")</f>
        <v/>
      </c>
      <c r="E33" s="10">
        <f>SUMIF(Alimentos!$A$2:$A$255,$A33,Alimentos!$D$2:$D$255)</f>
        <v/>
      </c>
    </row>
    <row r="34">
      <c r="A34" s="6" t="inlineStr">
        <is>
          <t>Laticínios</t>
        </is>
      </c>
      <c r="B34" s="6">
        <f>COUNTIF(Alimentos!$A$2:$A$255,$A34)</f>
        <v/>
      </c>
      <c r="C34" s="5">
        <f>COUNTIFS(Alimentos!$A$2:$A$255,$A34,Alimentos!$E$2:$E$255,"Já no app")</f>
        <v/>
      </c>
      <c r="D34" s="6">
        <f>COUNTIFS(Alimentos!$A$2:$A$255,$A34,Alimentos!$E$2:$E$255,"Falta subir")</f>
        <v/>
      </c>
      <c r="E34" s="10">
        <f>SUMIF(Alimentos!$A$2:$A$255,$A34,Alimentos!$D$2:$D$255)</f>
        <v/>
      </c>
    </row>
    <row r="35">
      <c r="A35" s="6" t="inlineStr">
        <is>
          <t>Cereais e leguminosas</t>
        </is>
      </c>
      <c r="B35" s="6">
        <f>COUNTIF(Alimentos!$A$2:$A$255,$A35)</f>
        <v/>
      </c>
      <c r="C35" s="5">
        <f>COUNTIFS(Alimentos!$A$2:$A$255,$A35,Alimentos!$E$2:$E$255,"Já no app")</f>
        <v/>
      </c>
      <c r="D35" s="6">
        <f>COUNTIFS(Alimentos!$A$2:$A$255,$A35,Alimentos!$E$2:$E$255,"Falta subir")</f>
        <v/>
      </c>
      <c r="E35" s="10">
        <f>SUMIF(Alimentos!$A$2:$A$255,$A35,Alimentos!$D$2:$D$255)</f>
        <v/>
      </c>
    </row>
    <row r="36">
      <c r="A36" s="6" t="inlineStr">
        <is>
          <t>Frutas</t>
        </is>
      </c>
      <c r="B36" s="6">
        <f>COUNTIF(Alimentos!$A$2:$A$255,$A36)</f>
        <v/>
      </c>
      <c r="C36" s="5">
        <f>COUNTIFS(Alimentos!$A$2:$A$255,$A36,Alimentos!$E$2:$E$255,"Já no app")</f>
        <v/>
      </c>
      <c r="D36" s="6">
        <f>COUNTIFS(Alimentos!$A$2:$A$255,$A36,Alimentos!$E$2:$E$255,"Falta subir")</f>
        <v/>
      </c>
      <c r="E36" s="10">
        <f>SUMIF(Alimentos!$A$2:$A$255,$A36,Alimentos!$D$2:$D$255)</f>
        <v/>
      </c>
    </row>
    <row r="37">
      <c r="A37" s="6" t="inlineStr">
        <is>
          <t>Hortaliças</t>
        </is>
      </c>
      <c r="B37" s="6">
        <f>COUNTIF(Alimentos!$A$2:$A$255,$A37)</f>
        <v/>
      </c>
      <c r="C37" s="5">
        <f>COUNTIFS(Alimentos!$A$2:$A$255,$A37,Alimentos!$E$2:$E$255,"Já no app")</f>
        <v/>
      </c>
      <c r="D37" s="6">
        <f>COUNTIFS(Alimentos!$A$2:$A$255,$A37,Alimentos!$E$2:$E$255,"Falta subir")</f>
        <v/>
      </c>
      <c r="E37" s="10">
        <f>SUMIF(Alimentos!$A$2:$A$255,$A37,Alimentos!$D$2:$D$255)</f>
        <v/>
      </c>
    </row>
    <row r="38">
      <c r="A38" s="6" t="inlineStr">
        <is>
          <t>Panificados</t>
        </is>
      </c>
      <c r="B38" s="6">
        <f>COUNTIF(Alimentos!$A$2:$A$255,$A38)</f>
        <v/>
      </c>
      <c r="C38" s="5">
        <f>COUNTIFS(Alimentos!$A$2:$A$255,$A38,Alimentos!$E$2:$E$255,"Já no app")</f>
        <v/>
      </c>
      <c r="D38" s="6">
        <f>COUNTIFS(Alimentos!$A$2:$A$255,$A38,Alimentos!$E$2:$E$255,"Falta subir")</f>
        <v/>
      </c>
      <c r="E38" s="10">
        <f>SUMIF(Alimentos!$A$2:$A$255,$A38,Alimentos!$D$2:$D$255)</f>
        <v/>
      </c>
    </row>
    <row r="39">
      <c r="A39" s="6" t="inlineStr">
        <is>
          <t>Aves e ovos</t>
        </is>
      </c>
      <c r="B39" s="6">
        <f>COUNTIF(Alimentos!$A$2:$A$255,$A39)</f>
        <v/>
      </c>
      <c r="C39" s="5">
        <f>COUNTIFS(Alimentos!$A$2:$A$255,$A39,Alimentos!$E$2:$E$255,"Já no app")</f>
        <v/>
      </c>
      <c r="D39" s="6">
        <f>COUNTIFS(Alimentos!$A$2:$A$255,$A39,Alimentos!$E$2:$E$255,"Falta subir")</f>
        <v/>
      </c>
      <c r="E39" s="10">
        <f>SUMIF(Alimentos!$A$2:$A$255,$A39,Alimentos!$D$2:$D$255)</f>
        <v/>
      </c>
    </row>
    <row r="40">
      <c r="A40" s="6" t="inlineStr">
        <is>
          <t>Carnes</t>
        </is>
      </c>
      <c r="B40" s="6">
        <f>COUNTIF(Alimentos!$A$2:$A$255,$A40)</f>
        <v/>
      </c>
      <c r="C40" s="5">
        <f>COUNTIFS(Alimentos!$A$2:$A$255,$A40,Alimentos!$E$2:$E$255,"Já no app")</f>
        <v/>
      </c>
      <c r="D40" s="6">
        <f>COUNTIFS(Alimentos!$A$2:$A$255,$A40,Alimentos!$E$2:$E$255,"Falta subir")</f>
        <v/>
      </c>
      <c r="E40" s="10">
        <f>SUMIF(Alimentos!$A$2:$A$255,$A40,Alimentos!$D$2:$D$255)</f>
        <v/>
      </c>
    </row>
    <row r="41">
      <c r="A41" s="6" t="inlineStr">
        <is>
          <t>Açúcares, doces e produtos de confeitaria</t>
        </is>
      </c>
      <c r="B41" s="6">
        <f>COUNTIF(Alimentos!$A$2:$A$255,$A41)</f>
        <v/>
      </c>
      <c r="C41" s="5">
        <f>COUNTIFS(Alimentos!$A$2:$A$255,$A41,Alimentos!$E$2:$E$255,"Já no app")</f>
        <v/>
      </c>
      <c r="D41" s="6">
        <f>COUNTIFS(Alimentos!$A$2:$A$255,$A41,Alimentos!$E$2:$E$255,"Falta subir")</f>
        <v/>
      </c>
      <c r="E41" s="10">
        <f>SUMIF(Alimentos!$A$2:$A$255,$A41,Alimentos!$D$2:$D$255)</f>
        <v/>
      </c>
    </row>
    <row r="42">
      <c r="A42" s="6" t="inlineStr">
        <is>
          <t>Farinhas, féculas e massas</t>
        </is>
      </c>
      <c r="B42" s="6">
        <f>COUNTIF(Alimentos!$A$2:$A$255,$A42)</f>
        <v/>
      </c>
      <c r="C42" s="5">
        <f>COUNTIFS(Alimentos!$A$2:$A$255,$A42,Alimentos!$E$2:$E$255,"Já no app")</f>
        <v/>
      </c>
      <c r="D42" s="6">
        <f>COUNTIFS(Alimentos!$A$2:$A$255,$A42,Alimentos!$E$2:$E$255,"Falta subir")</f>
        <v/>
      </c>
      <c r="E42" s="10">
        <f>SUMIF(Alimentos!$A$2:$A$255,$A42,Alimentos!$D$2:$D$255)</f>
        <v/>
      </c>
    </row>
    <row r="43">
      <c r="A43" s="6" t="inlineStr">
        <is>
          <t>Óleos e gorduras</t>
        </is>
      </c>
      <c r="B43" s="6">
        <f>COUNTIF(Alimentos!$A$2:$A$255,$A43)</f>
        <v/>
      </c>
      <c r="C43" s="5">
        <f>COUNTIFS(Alimentos!$A$2:$A$255,$A43,Alimentos!$E$2:$E$255,"Já no app")</f>
        <v/>
      </c>
      <c r="D43" s="6">
        <f>COUNTIFS(Alimentos!$A$2:$A$255,$A43,Alimentos!$E$2:$E$255,"Falta subir")</f>
        <v/>
      </c>
      <c r="E43" s="10">
        <f>SUMIF(Alimentos!$A$2:$A$255,$A43,Alimentos!$D$2:$D$255)</f>
        <v/>
      </c>
    </row>
    <row r="44">
      <c r="A44" s="6" t="inlineStr">
        <is>
          <t>Sais e condimentos</t>
        </is>
      </c>
      <c r="B44" s="6">
        <f>COUNTIF(Alimentos!$A$2:$A$255,$A44)</f>
        <v/>
      </c>
      <c r="C44" s="5">
        <f>COUNTIFS(Alimentos!$A$2:$A$255,$A44,Alimentos!$E$2:$E$255,"Já no app")</f>
        <v/>
      </c>
      <c r="D44" s="6">
        <f>COUNTIFS(Alimentos!$A$2:$A$255,$A44,Alimentos!$E$2:$E$255,"Falta subir")</f>
        <v/>
      </c>
      <c r="E44" s="10">
        <f>SUMIF(Alimentos!$A$2:$A$255,$A44,Alimentos!$D$2:$D$255)</f>
        <v/>
      </c>
    </row>
    <row r="45">
      <c r="A45" s="6" t="inlineStr">
        <is>
          <t>Alimentos preparados e misturas industriais</t>
        </is>
      </c>
      <c r="B45" s="6">
        <f>COUNTIF(Alimentos!$A$2:$A$255,$A45)</f>
        <v/>
      </c>
      <c r="C45" s="5">
        <f>COUNTIFS(Alimentos!$A$2:$A$255,$A45,Alimentos!$E$2:$E$255,"Já no app")</f>
        <v/>
      </c>
      <c r="D45" s="6">
        <f>COUNTIFS(Alimentos!$A$2:$A$255,$A45,Alimentos!$E$2:$E$255,"Falta subir")</f>
        <v/>
      </c>
      <c r="E45" s="10">
        <f>SUMIF(Alimentos!$A$2:$A$255,$A45,Alimentos!$D$2:$D$255)</f>
        <v/>
      </c>
    </row>
    <row r="46">
      <c r="A46" s="6" t="inlineStr">
        <is>
          <t>Pescados</t>
        </is>
      </c>
      <c r="B46" s="6">
        <f>COUNTIF(Alimentos!$A$2:$A$255,$A46)</f>
        <v/>
      </c>
      <c r="C46" s="5">
        <f>COUNTIFS(Alimentos!$A$2:$A$255,$A46,Alimentos!$E$2:$E$255,"Já no app")</f>
        <v/>
      </c>
      <c r="D46" s="6">
        <f>COUNTIFS(Alimentos!$A$2:$A$255,$A46,Alimentos!$E$2:$E$255,"Falta subir")</f>
        <v/>
      </c>
      <c r="E46" s="10">
        <f>SUMIF(Alimentos!$A$2:$A$255,$A46,Alimentos!$D$2:$D$255)</f>
        <v/>
      </c>
    </row>
    <row r="47">
      <c r="A47" s="6" t="inlineStr">
        <is>
          <t>Cocos, castanhas e nozes</t>
        </is>
      </c>
      <c r="B47" s="6">
        <f>COUNTIF(Alimentos!$A$2:$A$255,$A47)</f>
        <v/>
      </c>
      <c r="C47" s="5">
        <f>COUNTIFS(Alimentos!$A$2:$A$255,$A47,Alimentos!$E$2:$E$255,"Já no app")</f>
        <v/>
      </c>
      <c r="D47" s="6">
        <f>COUNTIFS(Alimentos!$A$2:$A$255,$A47,Alimentos!$E$2:$E$255,"Falta subir")</f>
        <v/>
      </c>
      <c r="E47" s="10">
        <f>SUMIF(Alimentos!$A$2:$A$255,$A47,Alimentos!$D$2:$D$255)</f>
        <v/>
      </c>
    </row>
    <row r="48">
      <c r="A48" s="6" t="inlineStr">
        <is>
          <t>Vísceras</t>
        </is>
      </c>
      <c r="B48" s="6">
        <f>COUNTIF(Alimentos!$A$2:$A$255,$A48)</f>
        <v/>
      </c>
      <c r="C48" s="5">
        <f>COUNTIFS(Alimentos!$A$2:$A$255,$A48,Alimentos!$E$2:$E$255,"Já no app")</f>
        <v/>
      </c>
      <c r="D48" s="6">
        <f>COUNTIFS(Alimentos!$A$2:$A$255,$A48,Alimentos!$E$2:$E$255,"Falta subir")</f>
        <v/>
      </c>
      <c r="E48" s="10">
        <f>SUMIF(Alimentos!$A$2:$A$255,$A48,Alimentos!$D$2:$D$255)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13" customWidth="1" min="4" max="4"/>
    <col width="13" customWidth="1" min="5" max="5"/>
    <col width="42" customWidth="1" min="6" max="6"/>
    <col width="8" customWidth="1" min="7" max="7"/>
    <col width="11" customWidth="1" min="8" max="8"/>
    <col width="14" customWidth="1" min="9" max="9"/>
    <col width="11" customWidth="1" min="10" max="10"/>
    <col width="9" customWidth="1" min="11" max="11"/>
    <col width="10" customWidth="1" min="12" max="12"/>
    <col width="42" customWidth="1" min="13" max="13"/>
    <col width="52" customWidth="1" min="14" max="14"/>
  </cols>
  <sheetData>
    <row r="1" ht="30" customHeight="1">
      <c r="A1" s="11" t="inlineStr">
        <is>
          <t>Grupo (POF)</t>
        </is>
      </c>
      <c r="B1" s="11" t="inlineStr">
        <is>
          <t>#</t>
        </is>
      </c>
      <c r="C1" s="11" t="inlineStr">
        <is>
          <t>Produto (POF/IBGE)</t>
        </is>
      </c>
      <c r="D1" s="11" t="inlineStr">
        <is>
          <t>kg/pessoa/ano</t>
        </is>
      </c>
      <c r="E1" s="11" t="inlineStr">
        <is>
          <t>Status</t>
        </is>
      </c>
      <c r="F1" s="11" t="inlineStr">
        <is>
          <t>Nome no app</t>
        </is>
      </c>
      <c r="G1" s="11" t="inlineStr">
        <is>
          <t>kcal</t>
        </is>
      </c>
      <c r="H1" s="11" t="inlineStr">
        <is>
          <t>Proteína (g)</t>
        </is>
      </c>
      <c r="I1" s="11" t="inlineStr">
        <is>
          <t>Carboidrato (g)</t>
        </is>
      </c>
      <c r="J1" s="11" t="inlineStr">
        <is>
          <t>Gordura (g)</t>
        </is>
      </c>
      <c r="K1" s="11" t="inlineStr">
        <is>
          <t>Fibra (g)</t>
        </is>
      </c>
      <c r="L1" s="11" t="inlineStr">
        <is>
          <t>Sódio (mg)</t>
        </is>
      </c>
      <c r="M1" s="11" t="inlineStr">
        <is>
          <t>Fonte do valor</t>
        </is>
      </c>
      <c r="N1" s="11" t="inlineStr">
        <is>
          <t>Observação</t>
        </is>
      </c>
    </row>
    <row r="2">
      <c r="A2" s="12" t="inlineStr">
        <is>
          <t>Bebidas e infusões</t>
        </is>
      </c>
      <c r="B2" s="13" t="n">
        <v>1</v>
      </c>
      <c r="C2" s="14" t="inlineStr">
        <is>
          <t>Água mineral</t>
        </is>
      </c>
      <c r="D2" s="15" t="n">
        <v>25.851</v>
      </c>
      <c r="E2" s="12" t="inlineStr">
        <is>
          <t>Falta subir</t>
        </is>
      </c>
      <c r="F2" s="14" t="inlineStr"/>
      <c r="G2" s="16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6" t="n">
        <v>1</v>
      </c>
      <c r="M2" s="14" t="inlineStr">
        <is>
          <t>Água — sem valor energético</t>
        </is>
      </c>
      <c r="N2" s="14" t="inlineStr"/>
    </row>
    <row r="3">
      <c r="A3" s="18" t="inlineStr">
        <is>
          <t>Bebidas e infusões</t>
        </is>
      </c>
      <c r="B3" s="19" t="n">
        <v>2</v>
      </c>
      <c r="C3" s="20" t="inlineStr">
        <is>
          <t>Refrigerante de cola</t>
        </is>
      </c>
      <c r="D3" s="21" t="n">
        <v>6.764</v>
      </c>
      <c r="E3" s="22" t="inlineStr">
        <is>
          <t>Já no app</t>
        </is>
      </c>
      <c r="F3" s="23" t="inlineStr">
        <is>
          <t>Refrigerante, tipo cola</t>
        </is>
      </c>
      <c r="G3" s="24" t="n">
        <v>33.51</v>
      </c>
      <c r="H3" s="25" t="n">
        <v>0</v>
      </c>
      <c r="I3" s="25" t="n">
        <v>8.66</v>
      </c>
      <c r="J3" s="25" t="n">
        <v>0</v>
      </c>
      <c r="K3" s="25" t="n"/>
      <c r="L3" s="24" t="n">
        <v>7.12</v>
      </c>
      <c r="M3" s="23" t="inlineStr">
        <is>
          <t>TACO (já no app)</t>
        </is>
      </c>
      <c r="N3" s="23" t="inlineStr"/>
    </row>
    <row r="4">
      <c r="A4" s="18" t="inlineStr">
        <is>
          <t>Bebidas e infusões</t>
        </is>
      </c>
      <c r="B4" s="19" t="n">
        <v>3</v>
      </c>
      <c r="C4" s="20" t="inlineStr">
        <is>
          <t>Cerveja</t>
        </is>
      </c>
      <c r="D4" s="21" t="n">
        <v>5.907</v>
      </c>
      <c r="E4" s="22" t="inlineStr">
        <is>
          <t>Já no app</t>
        </is>
      </c>
      <c r="F4" s="23" t="inlineStr">
        <is>
          <t>Cerveja, pilsen 2</t>
        </is>
      </c>
      <c r="G4" s="24" t="n">
        <v>40.72</v>
      </c>
      <c r="H4" s="25" t="n">
        <v>0.5600000000000001</v>
      </c>
      <c r="I4" s="25" t="n">
        <v>3.32</v>
      </c>
      <c r="J4" s="25" t="n">
        <v>0</v>
      </c>
      <c r="K4" s="25" t="n"/>
      <c r="L4" s="24" t="n">
        <v>4.23</v>
      </c>
      <c r="M4" s="23" t="inlineStr">
        <is>
          <t>TACO (já no app)</t>
        </is>
      </c>
      <c r="N4" s="23" t="inlineStr"/>
    </row>
    <row r="5">
      <c r="A5" s="18" t="inlineStr">
        <is>
          <t>Bebidas e infusões</t>
        </is>
      </c>
      <c r="B5" s="19" t="n">
        <v>4</v>
      </c>
      <c r="C5" s="20" t="inlineStr">
        <is>
          <t>Refrigerante de guaraná</t>
        </is>
      </c>
      <c r="D5" s="21" t="n">
        <v>3.577</v>
      </c>
      <c r="E5" s="22" t="inlineStr">
        <is>
          <t>Já no app</t>
        </is>
      </c>
      <c r="F5" s="23" t="inlineStr">
        <is>
          <t>Refrigerante, tipo guaraná</t>
        </is>
      </c>
      <c r="G5" s="24" t="n">
        <v>38.7</v>
      </c>
      <c r="H5" s="25" t="n">
        <v>0</v>
      </c>
      <c r="I5" s="25" t="n">
        <v>10</v>
      </c>
      <c r="J5" s="25" t="n">
        <v>0</v>
      </c>
      <c r="K5" s="25" t="n"/>
      <c r="L5" s="24" t="n">
        <v>9.01</v>
      </c>
      <c r="M5" s="23" t="inlineStr">
        <is>
          <t>TACO (já no app)</t>
        </is>
      </c>
      <c r="N5" s="23" t="inlineStr"/>
    </row>
    <row r="6">
      <c r="A6" s="18" t="inlineStr">
        <is>
          <t>Bebidas e infusões</t>
        </is>
      </c>
      <c r="B6" s="19" t="n">
        <v>5</v>
      </c>
      <c r="C6" s="20" t="inlineStr">
        <is>
          <t>Café moído</t>
        </is>
      </c>
      <c r="D6" s="21" t="n">
        <v>2.384</v>
      </c>
      <c r="E6" s="22" t="inlineStr">
        <is>
          <t>Já no app</t>
        </is>
      </c>
      <c r="F6" s="23" t="inlineStr">
        <is>
          <t>Café, infusão 10%</t>
        </is>
      </c>
      <c r="G6" s="24" t="n">
        <v>9.07</v>
      </c>
      <c r="H6" s="25" t="n">
        <v>0.71</v>
      </c>
      <c r="I6" s="25" t="n">
        <v>1.48</v>
      </c>
      <c r="J6" s="25" t="n">
        <v>0.07000000000000001</v>
      </c>
      <c r="K6" s="25" t="n"/>
      <c r="L6" s="24" t="n">
        <v>1.03</v>
      </c>
      <c r="M6" s="23" t="inlineStr">
        <is>
          <t>TACO (já no app)</t>
        </is>
      </c>
      <c r="N6" s="23" t="inlineStr"/>
    </row>
    <row r="7">
      <c r="A7" s="18" t="inlineStr">
        <is>
          <t>Bebidas e infusões</t>
        </is>
      </c>
      <c r="B7" s="19" t="n">
        <v>6</v>
      </c>
      <c r="C7" s="20" t="inlineStr">
        <is>
          <t>Suco de fruta envasado</t>
        </is>
      </c>
      <c r="D7" s="21" t="n">
        <v>2.05</v>
      </c>
      <c r="E7" s="22" t="inlineStr">
        <is>
          <t>Já no app</t>
        </is>
      </c>
      <c r="F7" s="23" t="inlineStr">
        <is>
          <t>Suco de uva, néctar, caixinha</t>
        </is>
      </c>
      <c r="G7" s="24" t="n">
        <v>41</v>
      </c>
      <c r="H7" s="25" t="n">
        <v>0</v>
      </c>
      <c r="I7" s="25" t="n">
        <v>10</v>
      </c>
      <c r="J7" s="25" t="n">
        <v>0</v>
      </c>
      <c r="K7" s="25" t="n">
        <v>0.1</v>
      </c>
      <c r="L7" s="24" t="n">
        <v>8</v>
      </c>
      <c r="M7" s="23" t="inlineStr">
        <is>
          <t>adicionado ao app</t>
        </is>
      </c>
      <c r="N7" s="23" t="inlineStr"/>
    </row>
    <row r="8">
      <c r="A8" s="18" t="inlineStr">
        <is>
          <t>Bebidas e infusões</t>
        </is>
      </c>
      <c r="B8" s="19" t="n">
        <v>7</v>
      </c>
      <c r="C8" s="20" t="inlineStr">
        <is>
          <t>Refrigerante de laranja</t>
        </is>
      </c>
      <c r="D8" s="21" t="n">
        <v>0.974</v>
      </c>
      <c r="E8" s="22" t="inlineStr">
        <is>
          <t>Já no app</t>
        </is>
      </c>
      <c r="F8" s="23" t="inlineStr">
        <is>
          <t>Refrigerante, tipo laranja</t>
        </is>
      </c>
      <c r="G8" s="24" t="n">
        <v>45.63</v>
      </c>
      <c r="H8" s="25" t="n">
        <v>0</v>
      </c>
      <c r="I8" s="25" t="n">
        <v>11.79</v>
      </c>
      <c r="J8" s="25" t="n">
        <v>0</v>
      </c>
      <c r="K8" s="25" t="n"/>
      <c r="L8" s="24" t="n">
        <v>9.27</v>
      </c>
      <c r="M8" s="23" t="inlineStr">
        <is>
          <t>TACO (já no app)</t>
        </is>
      </c>
      <c r="N8" s="23" t="inlineStr"/>
    </row>
    <row r="9">
      <c r="A9" s="18" t="inlineStr">
        <is>
          <t>Bebidas e infusões</t>
        </is>
      </c>
      <c r="B9" s="19" t="n">
        <v>8</v>
      </c>
      <c r="C9" s="20" t="inlineStr">
        <is>
          <t>Refrigerante de limão</t>
        </is>
      </c>
      <c r="D9" s="21" t="n">
        <v>0.521</v>
      </c>
      <c r="E9" s="22" t="inlineStr">
        <is>
          <t>Já no app</t>
        </is>
      </c>
      <c r="F9" s="23" t="inlineStr">
        <is>
          <t>Refrigerante, tipo limão</t>
        </is>
      </c>
      <c r="G9" s="24" t="n">
        <v>39.72</v>
      </c>
      <c r="H9" s="25" t="n">
        <v>0</v>
      </c>
      <c r="I9" s="25" t="n">
        <v>10.26</v>
      </c>
      <c r="J9" s="25" t="n">
        <v>0</v>
      </c>
      <c r="K9" s="25" t="n"/>
      <c r="L9" s="24" t="n">
        <v>8.800000000000001</v>
      </c>
      <c r="M9" s="23" t="inlineStr">
        <is>
          <t>TACO (já no app)</t>
        </is>
      </c>
      <c r="N9" s="23" t="inlineStr"/>
    </row>
    <row r="10">
      <c r="A10" s="18" t="inlineStr">
        <is>
          <t>Bebidas e infusões</t>
        </is>
      </c>
      <c r="B10" s="19" t="n">
        <v>9</v>
      </c>
      <c r="C10" s="20" t="inlineStr">
        <is>
          <t>Vinho</t>
        </is>
      </c>
      <c r="D10" s="21" t="n">
        <v>0.476</v>
      </c>
      <c r="E10" s="22" t="inlineStr">
        <is>
          <t>Já no app</t>
        </is>
      </c>
      <c r="F10" s="23" t="inlineStr">
        <is>
          <t>Vinho, tinto, de mesa</t>
        </is>
      </c>
      <c r="G10" s="24" t="n">
        <v>85</v>
      </c>
      <c r="H10" s="25" t="n">
        <v>0.07000000000000001</v>
      </c>
      <c r="I10" s="25" t="n">
        <v>2.61</v>
      </c>
      <c r="J10" s="25" t="n">
        <v>0</v>
      </c>
      <c r="K10" s="25" t="n">
        <v>0</v>
      </c>
      <c r="L10" s="24" t="n">
        <v>4</v>
      </c>
      <c r="M10" s="23" t="inlineStr">
        <is>
          <t>adicionado ao app</t>
        </is>
      </c>
      <c r="N10" s="23" t="inlineStr"/>
    </row>
    <row r="11">
      <c r="A11" s="18" t="inlineStr">
        <is>
          <t>Bebidas e infusões</t>
        </is>
      </c>
      <c r="B11" s="19" t="n">
        <v>10</v>
      </c>
      <c r="C11" s="20" t="inlineStr">
        <is>
          <t>Chá-mate</t>
        </is>
      </c>
      <c r="D11" s="21" t="n">
        <v>0.411</v>
      </c>
      <c r="E11" s="22" t="inlineStr">
        <is>
          <t>Já no app</t>
        </is>
      </c>
      <c r="F11" s="23" t="inlineStr">
        <is>
          <t>Chá, mate, infusão 5%</t>
        </is>
      </c>
      <c r="G11" s="24" t="n">
        <v>2.73</v>
      </c>
      <c r="H11" s="25" t="n">
        <v>0</v>
      </c>
      <c r="I11" s="25" t="n">
        <v>0.64</v>
      </c>
      <c r="J11" s="25" t="n">
        <v>0.05</v>
      </c>
      <c r="K11" s="25" t="n"/>
      <c r="L11" s="24" t="n">
        <v>0</v>
      </c>
      <c r="M11" s="23" t="inlineStr">
        <is>
          <t>TACO (já no app)</t>
        </is>
      </c>
      <c r="N11" s="23" t="inlineStr"/>
    </row>
    <row r="12">
      <c r="A12" s="18" t="inlineStr">
        <is>
          <t>Bebidas e infusões</t>
        </is>
      </c>
      <c r="B12" s="19" t="n">
        <v>11</v>
      </c>
      <c r="C12" s="20" t="inlineStr">
        <is>
          <t>Suco de fruta em pó</t>
        </is>
      </c>
      <c r="D12" s="21" t="n">
        <v>0.264</v>
      </c>
      <c r="E12" s="22" t="inlineStr">
        <is>
          <t>Já no app</t>
        </is>
      </c>
      <c r="F12" s="23" t="inlineStr">
        <is>
          <t>Suco de uva, néctar, caixinha</t>
        </is>
      </c>
      <c r="G12" s="24" t="n">
        <v>41</v>
      </c>
      <c r="H12" s="25" t="n">
        <v>0</v>
      </c>
      <c r="I12" s="25" t="n">
        <v>10</v>
      </c>
      <c r="J12" s="25" t="n">
        <v>0</v>
      </c>
      <c r="K12" s="25" t="n">
        <v>0.1</v>
      </c>
      <c r="L12" s="24" t="n">
        <v>8</v>
      </c>
      <c r="M12" s="23" t="inlineStr">
        <is>
          <t>adicionado ao app</t>
        </is>
      </c>
      <c r="N12" s="23" t="inlineStr"/>
    </row>
    <row r="13">
      <c r="A13" s="18" t="inlineStr">
        <is>
          <t>Bebidas e infusões</t>
        </is>
      </c>
      <c r="B13" s="19" t="n">
        <v>12</v>
      </c>
      <c r="C13" s="20" t="inlineStr">
        <is>
          <t>Refrigerante de uva</t>
        </is>
      </c>
      <c r="D13" s="21" t="n">
        <v>0.206</v>
      </c>
      <c r="E13" s="22" t="inlineStr">
        <is>
          <t>Já no app</t>
        </is>
      </c>
      <c r="F13" s="23" t="inlineStr">
        <is>
          <t>Refrigerante, tipo água tônica</t>
        </is>
      </c>
      <c r="G13" s="24" t="n">
        <v>30.78</v>
      </c>
      <c r="H13" s="25" t="n">
        <v>0</v>
      </c>
      <c r="I13" s="25" t="n">
        <v>7.95</v>
      </c>
      <c r="J13" s="25" t="n">
        <v>0</v>
      </c>
      <c r="K13" s="25" t="n"/>
      <c r="L13" s="24" t="n">
        <v>8.289999999999999</v>
      </c>
      <c r="M13" s="23" t="inlineStr">
        <is>
          <t>TACO (já no app)</t>
        </is>
      </c>
      <c r="N13" s="23" t="inlineStr"/>
    </row>
    <row r="14">
      <c r="A14" s="18" t="inlineStr">
        <is>
          <t>Bebidas e infusões</t>
        </is>
      </c>
      <c r="B14" s="19" t="n">
        <v>13</v>
      </c>
      <c r="C14" s="20" t="inlineStr">
        <is>
          <t>Bebida energética</t>
        </is>
      </c>
      <c r="D14" s="21" t="n">
        <v>0.156</v>
      </c>
      <c r="E14" s="22" t="inlineStr">
        <is>
          <t>Já no app</t>
        </is>
      </c>
      <c r="F14" s="23" t="inlineStr">
        <is>
          <t>Bebida láctea, pêssego</t>
        </is>
      </c>
      <c r="G14" s="24" t="n">
        <v>55.16</v>
      </c>
      <c r="H14" s="25" t="n">
        <v>2.13</v>
      </c>
      <c r="I14" s="25" t="n">
        <v>7.57</v>
      </c>
      <c r="J14" s="25" t="n">
        <v>1.91</v>
      </c>
      <c r="K14" s="25" t="n">
        <v>0.29</v>
      </c>
      <c r="L14" s="24" t="n">
        <v>46.26</v>
      </c>
      <c r="M14" s="23" t="inlineStr">
        <is>
          <t>TACO (já no app)</t>
        </is>
      </c>
      <c r="N14" s="23" t="inlineStr"/>
    </row>
    <row r="15">
      <c r="A15" s="18" t="inlineStr">
        <is>
          <t>Bebidas e infusões</t>
        </is>
      </c>
      <c r="B15" s="19" t="n">
        <v>14</v>
      </c>
      <c r="C15" s="20" t="inlineStr">
        <is>
          <t>Aguardente de cana</t>
        </is>
      </c>
      <c r="D15" s="21" t="n">
        <v>0.146</v>
      </c>
      <c r="E15" s="22" t="inlineStr">
        <is>
          <t>Já no app</t>
        </is>
      </c>
      <c r="F15" s="23" t="inlineStr">
        <is>
          <t>Cana, aguardente 1</t>
        </is>
      </c>
      <c r="G15" s="24" t="n">
        <v>215.66</v>
      </c>
      <c r="H15" s="25" t="n"/>
      <c r="I15" s="25" t="n"/>
      <c r="J15" s="25" t="n"/>
      <c r="K15" s="25" t="n"/>
      <c r="L15" s="24" t="n">
        <v>3.15</v>
      </c>
      <c r="M15" s="23" t="inlineStr">
        <is>
          <t>TACO (já no app)</t>
        </is>
      </c>
      <c r="N15" s="23" t="inlineStr"/>
    </row>
    <row r="16">
      <c r="A16" s="18" t="inlineStr">
        <is>
          <t>Bebidas e infusões</t>
        </is>
      </c>
      <c r="B16" s="19" t="n">
        <v>15</v>
      </c>
      <c r="C16" s="20" t="inlineStr">
        <is>
          <t>Café solúvel</t>
        </is>
      </c>
      <c r="D16" s="21" t="n">
        <v>0.078</v>
      </c>
      <c r="E16" s="22" t="inlineStr">
        <is>
          <t>Já no app</t>
        </is>
      </c>
      <c r="F16" s="23" t="inlineStr">
        <is>
          <t>Café, infusão 10%</t>
        </is>
      </c>
      <c r="G16" s="24" t="n">
        <v>9.07</v>
      </c>
      <c r="H16" s="25" t="n">
        <v>0.71</v>
      </c>
      <c r="I16" s="25" t="n">
        <v>1.48</v>
      </c>
      <c r="J16" s="25" t="n">
        <v>0.07000000000000001</v>
      </c>
      <c r="K16" s="25" t="n"/>
      <c r="L16" s="24" t="n">
        <v>1.03</v>
      </c>
      <c r="M16" s="23" t="inlineStr">
        <is>
          <t>TACO (já no app)</t>
        </is>
      </c>
      <c r="N16" s="23" t="inlineStr"/>
    </row>
    <row r="17">
      <c r="A17" s="18" t="inlineStr">
        <is>
          <t>Bebidas e infusões</t>
        </is>
      </c>
      <c r="B17" s="19" t="n">
        <v>16</v>
      </c>
      <c r="C17" s="20" t="inlineStr">
        <is>
          <t>Refrigerante de maçã</t>
        </is>
      </c>
      <c r="D17" s="21" t="n">
        <v>0.013</v>
      </c>
      <c r="E17" s="22" t="inlineStr">
        <is>
          <t>Já no app</t>
        </is>
      </c>
      <c r="F17" s="23" t="inlineStr">
        <is>
          <t>Refrigerante, tipo água tônica</t>
        </is>
      </c>
      <c r="G17" s="24" t="n">
        <v>30.78</v>
      </c>
      <c r="H17" s="25" t="n">
        <v>0</v>
      </c>
      <c r="I17" s="25" t="n">
        <v>7.95</v>
      </c>
      <c r="J17" s="25" t="n">
        <v>0</v>
      </c>
      <c r="K17" s="25" t="n"/>
      <c r="L17" s="24" t="n">
        <v>8.289999999999999</v>
      </c>
      <c r="M17" s="23" t="inlineStr">
        <is>
          <t>TACO (já no app)</t>
        </is>
      </c>
      <c r="N17" s="23" t="inlineStr"/>
    </row>
    <row r="18">
      <c r="A18" s="18" t="inlineStr">
        <is>
          <t>Laticínios</t>
        </is>
      </c>
      <c r="B18" s="19" t="n">
        <v>1</v>
      </c>
      <c r="C18" s="20" t="inlineStr">
        <is>
          <t>Leite de vaca pasteurizado</t>
        </is>
      </c>
      <c r="D18" s="21" t="n">
        <v>20.112</v>
      </c>
      <c r="E18" s="22" t="inlineStr">
        <is>
          <t>Já no app</t>
        </is>
      </c>
      <c r="F18" s="23" t="inlineStr">
        <is>
          <t>Leite, condensado</t>
        </is>
      </c>
      <c r="G18" s="24" t="n">
        <v>312.57</v>
      </c>
      <c r="H18" s="25" t="n">
        <v>7.67</v>
      </c>
      <c r="I18" s="25" t="n">
        <v>57</v>
      </c>
      <c r="J18" s="25" t="n">
        <v>6.74</v>
      </c>
      <c r="K18" s="25" t="n"/>
      <c r="L18" s="24" t="n">
        <v>93.8</v>
      </c>
      <c r="M18" s="23" t="inlineStr">
        <is>
          <t>TACO (já no app)</t>
        </is>
      </c>
      <c r="N18" s="23" t="inlineStr"/>
    </row>
    <row r="19">
      <c r="A19" s="18" t="inlineStr">
        <is>
          <t>Laticínios</t>
        </is>
      </c>
      <c r="B19" s="19" t="n">
        <v>2</v>
      </c>
      <c r="C19" s="20" t="inlineStr">
        <is>
          <t>Leite de vaca fresco</t>
        </is>
      </c>
      <c r="D19" s="21" t="n">
        <v>3.838</v>
      </c>
      <c r="E19" s="22" t="inlineStr">
        <is>
          <t>Já no app</t>
        </is>
      </c>
      <c r="F19" s="23" t="inlineStr">
        <is>
          <t>Leite, condensado</t>
        </is>
      </c>
      <c r="G19" s="24" t="n">
        <v>312.57</v>
      </c>
      <c r="H19" s="25" t="n">
        <v>7.67</v>
      </c>
      <c r="I19" s="25" t="n">
        <v>57</v>
      </c>
      <c r="J19" s="25" t="n">
        <v>6.74</v>
      </c>
      <c r="K19" s="25" t="n"/>
      <c r="L19" s="24" t="n">
        <v>93.8</v>
      </c>
      <c r="M19" s="23" t="inlineStr">
        <is>
          <t>TACO (já no app)</t>
        </is>
      </c>
      <c r="N19" s="23" t="inlineStr"/>
    </row>
    <row r="20">
      <c r="A20" s="18" t="inlineStr">
        <is>
          <t>Laticínios</t>
        </is>
      </c>
      <c r="B20" s="19" t="n">
        <v>3</v>
      </c>
      <c r="C20" s="20" t="inlineStr">
        <is>
          <t>Iogurte</t>
        </is>
      </c>
      <c r="D20" s="21" t="n">
        <v>1.554</v>
      </c>
      <c r="E20" s="22" t="inlineStr">
        <is>
          <t>Já no app</t>
        </is>
      </c>
      <c r="F20" s="23" t="inlineStr">
        <is>
          <t>Iogurte, natural</t>
        </is>
      </c>
      <c r="G20" s="24" t="n">
        <v>51.49</v>
      </c>
      <c r="H20" s="25" t="n">
        <v>4.06</v>
      </c>
      <c r="I20" s="25" t="n">
        <v>1.92</v>
      </c>
      <c r="J20" s="25" t="n">
        <v>3.04</v>
      </c>
      <c r="K20" s="25" t="n"/>
      <c r="L20" s="24" t="n">
        <v>51.62</v>
      </c>
      <c r="M20" s="23" t="inlineStr">
        <is>
          <t>TACO (já no app)</t>
        </is>
      </c>
      <c r="N20" s="23" t="inlineStr"/>
    </row>
    <row r="21">
      <c r="A21" s="18" t="inlineStr">
        <is>
          <t>Laticínios</t>
        </is>
      </c>
      <c r="B21" s="19" t="n">
        <v>4</v>
      </c>
      <c r="C21" s="20" t="inlineStr">
        <is>
          <t>Leite em pó integral</t>
        </is>
      </c>
      <c r="D21" s="21" t="n">
        <v>0.947</v>
      </c>
      <c r="E21" s="22" t="inlineStr">
        <is>
          <t>Já no app</t>
        </is>
      </c>
      <c r="F21" s="23" t="inlineStr">
        <is>
          <t>Leite, de vaca, integral</t>
        </is>
      </c>
      <c r="G21" s="24" t="n">
        <v>64</v>
      </c>
      <c r="H21" s="25" t="n">
        <v>2.9</v>
      </c>
      <c r="I21" s="25" t="n">
        <v>5.9</v>
      </c>
      <c r="J21" s="25" t="n">
        <v>3.2</v>
      </c>
      <c r="K21" s="25" t="n"/>
      <c r="L21" s="24" t="n">
        <v>63.76</v>
      </c>
      <c r="M21" s="23" t="inlineStr">
        <is>
          <t>TACO (já no app)</t>
        </is>
      </c>
      <c r="N21" s="23" t="inlineStr"/>
    </row>
    <row r="22">
      <c r="A22" s="18" t="inlineStr">
        <is>
          <t>Laticínios</t>
        </is>
      </c>
      <c r="B22" s="19" t="n">
        <v>5</v>
      </c>
      <c r="C22" s="20" t="inlineStr">
        <is>
          <t>Leite fermentado</t>
        </is>
      </c>
      <c r="D22" s="21" t="n">
        <v>0.946</v>
      </c>
      <c r="E22" s="22" t="inlineStr">
        <is>
          <t>Já no app</t>
        </is>
      </c>
      <c r="F22" s="23" t="inlineStr">
        <is>
          <t>Leite, fermentado</t>
        </is>
      </c>
      <c r="G22" s="24" t="n">
        <v>69.62</v>
      </c>
      <c r="H22" s="25" t="n">
        <v>1.89</v>
      </c>
      <c r="I22" s="25" t="n">
        <v>15.67</v>
      </c>
      <c r="J22" s="25" t="n">
        <v>0.1</v>
      </c>
      <c r="K22" s="25" t="n"/>
      <c r="L22" s="24" t="n">
        <v>33.43</v>
      </c>
      <c r="M22" s="23" t="inlineStr">
        <is>
          <t>TACO (já no app)</t>
        </is>
      </c>
      <c r="N22" s="23" t="inlineStr"/>
    </row>
    <row r="23">
      <c r="A23" s="18" t="inlineStr">
        <is>
          <t>Laticínios</t>
        </is>
      </c>
      <c r="B23" s="19" t="n">
        <v>6</v>
      </c>
      <c r="C23" s="20" t="inlineStr">
        <is>
          <t>Queijo mozarela</t>
        </is>
      </c>
      <c r="D23" s="21" t="n">
        <v>0.8090000000000001</v>
      </c>
      <c r="E23" s="22" t="inlineStr">
        <is>
          <t>Já no app</t>
        </is>
      </c>
      <c r="F23" s="23" t="inlineStr">
        <is>
          <t>Queijo, mozarela</t>
        </is>
      </c>
      <c r="G23" s="24" t="n">
        <v>329.87</v>
      </c>
      <c r="H23" s="25" t="n">
        <v>22.65</v>
      </c>
      <c r="I23" s="25" t="n">
        <v>3.05</v>
      </c>
      <c r="J23" s="25" t="n">
        <v>25.18</v>
      </c>
      <c r="K23" s="25" t="n"/>
      <c r="L23" s="24" t="n">
        <v>581.36</v>
      </c>
      <c r="M23" s="23" t="inlineStr">
        <is>
          <t>TACO (já no app)</t>
        </is>
      </c>
      <c r="N23" s="23" t="inlineStr"/>
    </row>
    <row r="24">
      <c r="A24" s="18" t="inlineStr">
        <is>
          <t>Laticínios</t>
        </is>
      </c>
      <c r="B24" s="19" t="n">
        <v>7</v>
      </c>
      <c r="C24" s="20" t="inlineStr">
        <is>
          <t>Leite condensado</t>
        </is>
      </c>
      <c r="D24" s="21" t="n">
        <v>0.737</v>
      </c>
      <c r="E24" s="22" t="inlineStr">
        <is>
          <t>Já no app</t>
        </is>
      </c>
      <c r="F24" s="23" t="inlineStr">
        <is>
          <t>Leite, condensado</t>
        </is>
      </c>
      <c r="G24" s="24" t="n">
        <v>312.57</v>
      </c>
      <c r="H24" s="25" t="n">
        <v>7.67</v>
      </c>
      <c r="I24" s="25" t="n">
        <v>57</v>
      </c>
      <c r="J24" s="25" t="n">
        <v>6.74</v>
      </c>
      <c r="K24" s="25" t="n"/>
      <c r="L24" s="24" t="n">
        <v>93.8</v>
      </c>
      <c r="M24" s="23" t="inlineStr">
        <is>
          <t>TACO (já no app)</t>
        </is>
      </c>
      <c r="N24" s="23" t="inlineStr"/>
    </row>
    <row r="25">
      <c r="A25" s="18" t="inlineStr">
        <is>
          <t>Laticínios</t>
        </is>
      </c>
      <c r="B25" s="19" t="n">
        <v>8</v>
      </c>
      <c r="C25" s="20" t="inlineStr">
        <is>
          <t>Queijo minas</t>
        </is>
      </c>
      <c r="D25" s="21" t="n">
        <v>0.5649999999999999</v>
      </c>
      <c r="E25" s="22" t="inlineStr">
        <is>
          <t>Já no app</t>
        </is>
      </c>
      <c r="F25" s="23" t="inlineStr">
        <is>
          <t>Queijo, minas, frescal</t>
        </is>
      </c>
      <c r="G25" s="24" t="n">
        <v>264.27</v>
      </c>
      <c r="H25" s="25" t="n">
        <v>17.41</v>
      </c>
      <c r="I25" s="25" t="n">
        <v>3.24</v>
      </c>
      <c r="J25" s="25" t="n">
        <v>20.18</v>
      </c>
      <c r="K25" s="25" t="n"/>
      <c r="L25" s="24" t="n">
        <v>31.23</v>
      </c>
      <c r="M25" s="23" t="inlineStr">
        <is>
          <t>TACO (já no app)</t>
        </is>
      </c>
      <c r="N25" s="23" t="inlineStr"/>
    </row>
    <row r="26">
      <c r="A26" s="18" t="inlineStr">
        <is>
          <t>Laticínios</t>
        </is>
      </c>
      <c r="B26" s="19" t="n">
        <v>9</v>
      </c>
      <c r="C26" s="20" t="inlineStr">
        <is>
          <t>Creme de leite</t>
        </is>
      </c>
      <c r="D26" s="21" t="n">
        <v>0.469</v>
      </c>
      <c r="E26" s="22" t="inlineStr">
        <is>
          <t>Já no app</t>
        </is>
      </c>
      <c r="F26" s="23" t="inlineStr">
        <is>
          <t>Creme de Leite</t>
        </is>
      </c>
      <c r="G26" s="24" t="n">
        <v>221.48</v>
      </c>
      <c r="H26" s="25" t="n">
        <v>1.51</v>
      </c>
      <c r="I26" s="25" t="n">
        <v>4.51</v>
      </c>
      <c r="J26" s="25" t="n">
        <v>22.48</v>
      </c>
      <c r="K26" s="25" t="n"/>
      <c r="L26" s="24" t="n">
        <v>51.72</v>
      </c>
      <c r="M26" s="23" t="inlineStr">
        <is>
          <t>TACO (já no app)</t>
        </is>
      </c>
      <c r="N26" s="23" t="inlineStr"/>
    </row>
    <row r="27">
      <c r="A27" s="18" t="inlineStr">
        <is>
          <t>Laticínios</t>
        </is>
      </c>
      <c r="B27" s="19" t="n">
        <v>10</v>
      </c>
      <c r="C27" s="20" t="inlineStr">
        <is>
          <t>Manteiga</t>
        </is>
      </c>
      <c r="D27" s="21" t="n">
        <v>0.351</v>
      </c>
      <c r="E27" s="22" t="inlineStr">
        <is>
          <t>Já no app</t>
        </is>
      </c>
      <c r="F27" s="23" t="inlineStr">
        <is>
          <t>Couve, manteiga, crua</t>
        </is>
      </c>
      <c r="G27" s="24" t="n">
        <v>27.06</v>
      </c>
      <c r="H27" s="25" t="n">
        <v>2.87</v>
      </c>
      <c r="I27" s="25" t="n">
        <v>4.33</v>
      </c>
      <c r="J27" s="25" t="n">
        <v>0.55</v>
      </c>
      <c r="K27" s="25" t="n">
        <v>3.12</v>
      </c>
      <c r="L27" s="24" t="n">
        <v>6.17</v>
      </c>
      <c r="M27" s="23" t="inlineStr">
        <is>
          <t>TACO (já no app)</t>
        </is>
      </c>
      <c r="N27" s="23" t="inlineStr"/>
    </row>
    <row r="28">
      <c r="A28" s="18" t="inlineStr">
        <is>
          <t>Laticínios</t>
        </is>
      </c>
      <c r="B28" s="19" t="n">
        <v>11</v>
      </c>
      <c r="C28" s="20" t="inlineStr">
        <is>
          <t>Requeijão</t>
        </is>
      </c>
      <c r="D28" s="21" t="n">
        <v>0.285</v>
      </c>
      <c r="E28" s="22" t="inlineStr">
        <is>
          <t>Já no app</t>
        </is>
      </c>
      <c r="F28" s="23" t="inlineStr">
        <is>
          <t>Requeijão, light, Tirol</t>
        </is>
      </c>
      <c r="G28" s="24" t="n">
        <v>177</v>
      </c>
      <c r="H28" s="25" t="n">
        <v>11</v>
      </c>
      <c r="I28" s="25" t="n">
        <v>3.3</v>
      </c>
      <c r="J28" s="25" t="n">
        <v>13.3</v>
      </c>
      <c r="K28" s="25" t="n">
        <v>0</v>
      </c>
      <c r="L28" s="24" t="n">
        <v>560</v>
      </c>
      <c r="M28" s="23" t="inlineStr">
        <is>
          <t>adicionado ao app</t>
        </is>
      </c>
      <c r="N28" s="23" t="inlineStr"/>
    </row>
    <row r="29">
      <c r="A29" s="18" t="inlineStr">
        <is>
          <t>Laticínios</t>
        </is>
      </c>
      <c r="B29" s="19" t="n">
        <v>12</v>
      </c>
      <c r="C29" s="20" t="inlineStr">
        <is>
          <t>Queijo prato</t>
        </is>
      </c>
      <c r="D29" s="21" t="n">
        <v>0.267</v>
      </c>
      <c r="E29" s="22" t="inlineStr">
        <is>
          <t>Já no app</t>
        </is>
      </c>
      <c r="F29" s="23" t="inlineStr">
        <is>
          <t>Queijo, prato</t>
        </is>
      </c>
      <c r="G29" s="24" t="n">
        <v>359.88</v>
      </c>
      <c r="H29" s="25" t="n">
        <v>22.66</v>
      </c>
      <c r="I29" s="25" t="n">
        <v>1.88</v>
      </c>
      <c r="J29" s="25" t="n">
        <v>29.11</v>
      </c>
      <c r="K29" s="25" t="n"/>
      <c r="L29" s="24" t="n">
        <v>579.77</v>
      </c>
      <c r="M29" s="23" t="inlineStr">
        <is>
          <t>TACO (já no app)</t>
        </is>
      </c>
      <c r="N29" s="23" t="inlineStr"/>
    </row>
    <row r="30">
      <c r="A30" s="18" t="inlineStr">
        <is>
          <t>Laticínios</t>
        </is>
      </c>
      <c r="B30" s="19" t="n">
        <v>13</v>
      </c>
      <c r="C30" s="20" t="inlineStr">
        <is>
          <t>Queijo parmezão</t>
        </is>
      </c>
      <c r="D30" s="21" t="n">
        <v>0.074</v>
      </c>
      <c r="E30" s="22" t="inlineStr">
        <is>
          <t>Já no app</t>
        </is>
      </c>
      <c r="F30" s="23" t="inlineStr">
        <is>
          <t>Queijo, minas, frescal</t>
        </is>
      </c>
      <c r="G30" s="24" t="n">
        <v>264.27</v>
      </c>
      <c r="H30" s="25" t="n">
        <v>17.41</v>
      </c>
      <c r="I30" s="25" t="n">
        <v>3.24</v>
      </c>
      <c r="J30" s="25" t="n">
        <v>20.18</v>
      </c>
      <c r="K30" s="25" t="n"/>
      <c r="L30" s="24" t="n">
        <v>31.23</v>
      </c>
      <c r="M30" s="23" t="inlineStr">
        <is>
          <t>TACO (já no app)</t>
        </is>
      </c>
      <c r="N30" s="23" t="inlineStr"/>
    </row>
    <row r="31">
      <c r="A31" s="18" t="inlineStr">
        <is>
          <t>Laticínios</t>
        </is>
      </c>
      <c r="B31" s="19" t="n">
        <v>14</v>
      </c>
      <c r="C31" s="20" t="inlineStr">
        <is>
          <t>Leite em pó desengordurado</t>
        </is>
      </c>
      <c r="D31" s="21" t="n">
        <v>0.058</v>
      </c>
      <c r="E31" s="22" t="inlineStr">
        <is>
          <t>Já no app</t>
        </is>
      </c>
      <c r="F31" s="23" t="inlineStr">
        <is>
          <t>Leite, condensado</t>
        </is>
      </c>
      <c r="G31" s="24" t="n">
        <v>312.57</v>
      </c>
      <c r="H31" s="25" t="n">
        <v>7.67</v>
      </c>
      <c r="I31" s="25" t="n">
        <v>57</v>
      </c>
      <c r="J31" s="25" t="n">
        <v>6.74</v>
      </c>
      <c r="K31" s="25" t="n"/>
      <c r="L31" s="24" t="n">
        <v>93.8</v>
      </c>
      <c r="M31" s="23" t="inlineStr">
        <is>
          <t>TACO (já no app)</t>
        </is>
      </c>
      <c r="N31" s="23" t="inlineStr"/>
    </row>
    <row r="32">
      <c r="A32" s="18" t="inlineStr">
        <is>
          <t>Cereais e leguminosas</t>
        </is>
      </c>
      <c r="B32" s="19" t="n">
        <v>1</v>
      </c>
      <c r="C32" s="20" t="inlineStr">
        <is>
          <t>Arroz polido</t>
        </is>
      </c>
      <c r="D32" s="21" t="n">
        <v>18.224</v>
      </c>
      <c r="E32" s="22" t="inlineStr">
        <is>
          <t>Já no app</t>
        </is>
      </c>
      <c r="F32" s="23" t="inlineStr">
        <is>
          <t>Arroz, integral, cozido</t>
        </is>
      </c>
      <c r="G32" s="24" t="n">
        <v>123.53</v>
      </c>
      <c r="H32" s="25" t="n">
        <v>2.59</v>
      </c>
      <c r="I32" s="25" t="n">
        <v>25.81</v>
      </c>
      <c r="J32" s="25" t="n">
        <v>1</v>
      </c>
      <c r="K32" s="25" t="n">
        <v>2.75</v>
      </c>
      <c r="L32" s="24" t="n">
        <v>1.24</v>
      </c>
      <c r="M32" s="23" t="inlineStr">
        <is>
          <t>TACO (já no app)</t>
        </is>
      </c>
      <c r="N32" s="23" t="inlineStr"/>
    </row>
    <row r="33">
      <c r="A33" s="18" t="inlineStr">
        <is>
          <t>Cereais e leguminosas</t>
        </is>
      </c>
      <c r="B33" s="19" t="n">
        <v>2</v>
      </c>
      <c r="C33" s="20" t="inlineStr">
        <is>
          <t>Feijão-rajado</t>
        </is>
      </c>
      <c r="D33" s="21" t="n">
        <v>2.615</v>
      </c>
      <c r="E33" s="22" t="inlineStr">
        <is>
          <t>Já no app</t>
        </is>
      </c>
      <c r="F33" s="23" t="inlineStr">
        <is>
          <t>Feijão, rajado, cozido</t>
        </is>
      </c>
      <c r="G33" s="24" t="n">
        <v>84.7</v>
      </c>
      <c r="H33" s="25" t="n">
        <v>5.54</v>
      </c>
      <c r="I33" s="25" t="n">
        <v>15.27</v>
      </c>
      <c r="J33" s="25" t="n">
        <v>0.4</v>
      </c>
      <c r="K33" s="25" t="n">
        <v>9.32</v>
      </c>
      <c r="L33" s="24" t="n">
        <v>0.6899999999999999</v>
      </c>
      <c r="M33" s="23" t="inlineStr">
        <is>
          <t>TACO (já no app)</t>
        </is>
      </c>
      <c r="N33" s="23" t="inlineStr"/>
    </row>
    <row r="34">
      <c r="A34" s="18" t="inlineStr">
        <is>
          <t>Cereais e leguminosas</t>
        </is>
      </c>
      <c r="B34" s="19" t="n">
        <v>3</v>
      </c>
      <c r="C34" s="20" t="inlineStr">
        <is>
          <t>Feijão-preto</t>
        </is>
      </c>
      <c r="D34" s="21" t="n">
        <v>1.297</v>
      </c>
      <c r="E34" s="22" t="inlineStr">
        <is>
          <t>Já no app</t>
        </is>
      </c>
      <c r="F34" s="23" t="inlineStr">
        <is>
          <t>Feijão, preto, cozido</t>
        </is>
      </c>
      <c r="G34" s="24" t="n">
        <v>77.03</v>
      </c>
      <c r="H34" s="25" t="n">
        <v>4.48</v>
      </c>
      <c r="I34" s="25" t="n">
        <v>14.01</v>
      </c>
      <c r="J34" s="25" t="n">
        <v>0.54</v>
      </c>
      <c r="K34" s="25" t="n">
        <v>8.4</v>
      </c>
      <c r="L34" s="24" t="n">
        <v>1.85</v>
      </c>
      <c r="M34" s="23" t="inlineStr">
        <is>
          <t>TACO (já no app)</t>
        </is>
      </c>
      <c r="N34" s="23" t="inlineStr"/>
    </row>
    <row r="35">
      <c r="A35" s="18" t="inlineStr">
        <is>
          <t>Cereais e leguminosas</t>
        </is>
      </c>
      <c r="B35" s="19" t="n">
        <v>4</v>
      </c>
      <c r="C35" s="20" t="inlineStr">
        <is>
          <t>Milho em grão</t>
        </is>
      </c>
      <c r="D35" s="21" t="n">
        <v>0.733</v>
      </c>
      <c r="E35" s="22" t="inlineStr">
        <is>
          <t>Já no app</t>
        </is>
      </c>
      <c r="F35" s="23" t="inlineStr">
        <is>
          <t>Milho, amido, cru</t>
        </is>
      </c>
      <c r="G35" s="24" t="n">
        <v>361.37</v>
      </c>
      <c r="H35" s="25" t="n">
        <v>0.6</v>
      </c>
      <c r="I35" s="25" t="n">
        <v>87.15000000000001</v>
      </c>
      <c r="J35" s="25" t="n">
        <v>0</v>
      </c>
      <c r="K35" s="25" t="n">
        <v>0.74</v>
      </c>
      <c r="L35" s="24" t="n">
        <v>8.08</v>
      </c>
      <c r="M35" s="23" t="inlineStr">
        <is>
          <t>TACO (já no app)</t>
        </is>
      </c>
      <c r="N35" s="23" t="inlineStr"/>
    </row>
    <row r="36">
      <c r="A36" s="18" t="inlineStr">
        <is>
          <t>Cereais e leguminosas</t>
        </is>
      </c>
      <c r="B36" s="19" t="n">
        <v>5</v>
      </c>
      <c r="C36" s="20" t="inlineStr">
        <is>
          <t>Feijão-mulatinho</t>
        </is>
      </c>
      <c r="D36" s="21" t="n">
        <v>0.6919999999999999</v>
      </c>
      <c r="E36" s="22" t="inlineStr">
        <is>
          <t>Já no app</t>
        </is>
      </c>
      <c r="F36" s="23" t="inlineStr">
        <is>
          <t>Feijão, broto, cru</t>
        </is>
      </c>
      <c r="G36" s="24" t="n">
        <v>38.72</v>
      </c>
      <c r="H36" s="25" t="n">
        <v>4.17</v>
      </c>
      <c r="I36" s="25" t="n">
        <v>7.76</v>
      </c>
      <c r="J36" s="25" t="n">
        <v>0.1</v>
      </c>
      <c r="K36" s="25" t="n">
        <v>1.97</v>
      </c>
      <c r="L36" s="24" t="n">
        <v>1.79</v>
      </c>
      <c r="M36" s="23" t="inlineStr">
        <is>
          <t>TACO (já no app)</t>
        </is>
      </c>
      <c r="N36" s="23" t="inlineStr"/>
    </row>
    <row r="37">
      <c r="A37" s="18" t="inlineStr">
        <is>
          <t>Cereais e leguminosas</t>
        </is>
      </c>
      <c r="B37" s="19" t="n">
        <v>6</v>
      </c>
      <c r="C37" s="20" t="inlineStr">
        <is>
          <t>Feijão-fradinho</t>
        </is>
      </c>
      <c r="D37" s="21" t="n">
        <v>0.495</v>
      </c>
      <c r="E37" s="22" t="inlineStr">
        <is>
          <t>Já no app</t>
        </is>
      </c>
      <c r="F37" s="23" t="inlineStr">
        <is>
          <t>Feijão, fradinho, cozido</t>
        </is>
      </c>
      <c r="G37" s="24" t="n">
        <v>78.01000000000001</v>
      </c>
      <c r="H37" s="25" t="n">
        <v>5.09</v>
      </c>
      <c r="I37" s="25" t="n">
        <v>13.5</v>
      </c>
      <c r="J37" s="25" t="n">
        <v>0.64</v>
      </c>
      <c r="K37" s="25" t="n">
        <v>7.47</v>
      </c>
      <c r="L37" s="24" t="n">
        <v>0.98</v>
      </c>
      <c r="M37" s="23" t="inlineStr">
        <is>
          <t>TACO (já no app)</t>
        </is>
      </c>
      <c r="N37" s="23" t="inlineStr"/>
    </row>
    <row r="38">
      <c r="A38" s="18" t="inlineStr">
        <is>
          <t>Cereais e leguminosas</t>
        </is>
      </c>
      <c r="B38" s="19" t="n">
        <v>7</v>
      </c>
      <c r="C38" s="20" t="inlineStr">
        <is>
          <t>Milho verde em espiga</t>
        </is>
      </c>
      <c r="D38" s="21" t="n">
        <v>0.306</v>
      </c>
      <c r="E38" s="22" t="inlineStr">
        <is>
          <t>Já no app</t>
        </is>
      </c>
      <c r="F38" s="23" t="inlineStr">
        <is>
          <t>Milho, verde, cru</t>
        </is>
      </c>
      <c r="G38" s="24" t="n">
        <v>138.17</v>
      </c>
      <c r="H38" s="25" t="n">
        <v>6.59</v>
      </c>
      <c r="I38" s="25" t="n">
        <v>28.56</v>
      </c>
      <c r="J38" s="25" t="n">
        <v>0.61</v>
      </c>
      <c r="K38" s="25" t="n">
        <v>3.92</v>
      </c>
      <c r="L38" s="24" t="n">
        <v>1.12</v>
      </c>
      <c r="M38" s="23" t="inlineStr">
        <is>
          <t>TACO (já no app)</t>
        </is>
      </c>
      <c r="N38" s="23" t="inlineStr"/>
    </row>
    <row r="39">
      <c r="A39" s="18" t="inlineStr">
        <is>
          <t>Cereais e leguminosas</t>
        </is>
      </c>
      <c r="B39" s="19" t="n">
        <v>8</v>
      </c>
      <c r="C39" s="20" t="inlineStr">
        <is>
          <t>Milho verde em conserva</t>
        </is>
      </c>
      <c r="D39" s="21" t="n">
        <v>0.212</v>
      </c>
      <c r="E39" s="22" t="inlineStr">
        <is>
          <t>Já no app</t>
        </is>
      </c>
      <c r="F39" s="23" t="inlineStr">
        <is>
          <t>Milho, verde, cru</t>
        </is>
      </c>
      <c r="G39" s="24" t="n">
        <v>138.17</v>
      </c>
      <c r="H39" s="25" t="n">
        <v>6.59</v>
      </c>
      <c r="I39" s="25" t="n">
        <v>28.56</v>
      </c>
      <c r="J39" s="25" t="n">
        <v>0.61</v>
      </c>
      <c r="K39" s="25" t="n">
        <v>3.92</v>
      </c>
      <c r="L39" s="24" t="n">
        <v>1.12</v>
      </c>
      <c r="M39" s="23" t="inlineStr">
        <is>
          <t>TACO (já no app)</t>
        </is>
      </c>
      <c r="N39" s="23" t="inlineStr"/>
    </row>
    <row r="40">
      <c r="A40" s="18" t="inlineStr">
        <is>
          <t>Cereais e leguminosas</t>
        </is>
      </c>
      <c r="B40" s="19" t="n">
        <v>9</v>
      </c>
      <c r="C40" s="20" t="inlineStr">
        <is>
          <t>Feijão-jalo</t>
        </is>
      </c>
      <c r="D40" s="21" t="n">
        <v>0.08</v>
      </c>
      <c r="E40" s="22" t="inlineStr">
        <is>
          <t>Já no app</t>
        </is>
      </c>
      <c r="F40" s="23" t="inlineStr">
        <is>
          <t>Feijão, jalo, cozido</t>
        </is>
      </c>
      <c r="G40" s="24" t="n">
        <v>92.73999999999999</v>
      </c>
      <c r="H40" s="25" t="n">
        <v>6.14</v>
      </c>
      <c r="I40" s="25" t="n">
        <v>16.5</v>
      </c>
      <c r="J40" s="25" t="n">
        <v>0.51</v>
      </c>
      <c r="K40" s="25" t="n">
        <v>13.87</v>
      </c>
      <c r="L40" s="24" t="n">
        <v>0.52</v>
      </c>
      <c r="M40" s="23" t="inlineStr">
        <is>
          <t>TACO (já no app)</t>
        </is>
      </c>
      <c r="N40" s="23" t="inlineStr"/>
    </row>
    <row r="41">
      <c r="A41" s="18" t="inlineStr">
        <is>
          <t>Cereais e leguminosas</t>
        </is>
      </c>
      <c r="B41" s="19" t="n">
        <v>10</v>
      </c>
      <c r="C41" s="20" t="inlineStr">
        <is>
          <t>Feijão-manteiga</t>
        </is>
      </c>
      <c r="D41" s="21" t="n">
        <v>0.047</v>
      </c>
      <c r="E41" s="22" t="inlineStr">
        <is>
          <t>Já no app</t>
        </is>
      </c>
      <c r="F41" s="23" t="inlineStr">
        <is>
          <t>Feijão, broto, cru</t>
        </is>
      </c>
      <c r="G41" s="24" t="n">
        <v>38.72</v>
      </c>
      <c r="H41" s="25" t="n">
        <v>4.17</v>
      </c>
      <c r="I41" s="25" t="n">
        <v>7.76</v>
      </c>
      <c r="J41" s="25" t="n">
        <v>0.1</v>
      </c>
      <c r="K41" s="25" t="n">
        <v>1.97</v>
      </c>
      <c r="L41" s="24" t="n">
        <v>1.79</v>
      </c>
      <c r="M41" s="23" t="inlineStr">
        <is>
          <t>TACO (já no app)</t>
        </is>
      </c>
      <c r="N41" s="23" t="inlineStr"/>
    </row>
    <row r="42">
      <c r="A42" s="18" t="inlineStr">
        <is>
          <t>Cereais e leguminosas</t>
        </is>
      </c>
      <c r="B42" s="19" t="n">
        <v>11</v>
      </c>
      <c r="C42" s="20" t="inlineStr">
        <is>
          <t>Feijão-roxo</t>
        </is>
      </c>
      <c r="D42" s="21" t="n">
        <v>0.02</v>
      </c>
      <c r="E42" s="22" t="inlineStr">
        <is>
          <t>Já no app</t>
        </is>
      </c>
      <c r="F42" s="23" t="inlineStr">
        <is>
          <t>Feijão, roxo, cozido</t>
        </is>
      </c>
      <c r="G42" s="24" t="n">
        <v>76.89</v>
      </c>
      <c r="H42" s="25" t="n">
        <v>5.72</v>
      </c>
      <c r="I42" s="25" t="n">
        <v>12.91</v>
      </c>
      <c r="J42" s="25" t="n">
        <v>0.54</v>
      </c>
      <c r="K42" s="25" t="n">
        <v>11.51</v>
      </c>
      <c r="L42" s="24" t="n">
        <v>1.46</v>
      </c>
      <c r="M42" s="23" t="inlineStr">
        <is>
          <t>TACO (já no app)</t>
        </is>
      </c>
      <c r="N42" s="23" t="inlineStr"/>
    </row>
    <row r="43">
      <c r="A43" s="18" t="inlineStr">
        <is>
          <t>Frutas</t>
        </is>
      </c>
      <c r="B43" s="19" t="n">
        <v>1</v>
      </c>
      <c r="C43" s="20" t="inlineStr">
        <is>
          <t>Banana-prata</t>
        </is>
      </c>
      <c r="D43" s="21" t="n">
        <v>3.05</v>
      </c>
      <c r="E43" s="22" t="inlineStr">
        <is>
          <t>Já no app</t>
        </is>
      </c>
      <c r="F43" s="23" t="inlineStr">
        <is>
          <t>Banana, prata, crua</t>
        </is>
      </c>
      <c r="G43" s="24" t="n">
        <v>98.25</v>
      </c>
      <c r="H43" s="25" t="n">
        <v>1.27</v>
      </c>
      <c r="I43" s="25" t="n">
        <v>25.96</v>
      </c>
      <c r="J43" s="25" t="n">
        <v>0.07000000000000001</v>
      </c>
      <c r="K43" s="25" t="n">
        <v>2.04</v>
      </c>
      <c r="L43" s="24" t="n">
        <v>0</v>
      </c>
      <c r="M43" s="23" t="inlineStr">
        <is>
          <t>TACO (já no app)</t>
        </is>
      </c>
      <c r="N43" s="23" t="inlineStr"/>
    </row>
    <row r="44">
      <c r="A44" s="18" t="inlineStr">
        <is>
          <t>Frutas</t>
        </is>
      </c>
      <c r="B44" s="19" t="n">
        <v>2</v>
      </c>
      <c r="C44" s="20" t="inlineStr">
        <is>
          <t>Melancia</t>
        </is>
      </c>
      <c r="D44" s="21" t="n">
        <v>2.645</v>
      </c>
      <c r="E44" s="22" t="inlineStr">
        <is>
          <t>Já no app</t>
        </is>
      </c>
      <c r="F44" s="23" t="inlineStr">
        <is>
          <t>Melancia, crua</t>
        </is>
      </c>
      <c r="G44" s="24" t="n">
        <v>32.61</v>
      </c>
      <c r="H44" s="25" t="n">
        <v>0.88</v>
      </c>
      <c r="I44" s="25" t="n">
        <v>8.140000000000001</v>
      </c>
      <c r="J44" s="25" t="n">
        <v>0</v>
      </c>
      <c r="K44" s="25" t="n">
        <v>0.12</v>
      </c>
      <c r="L44" s="24" t="n">
        <v>0</v>
      </c>
      <c r="M44" s="23" t="inlineStr">
        <is>
          <t>TACO (já no app)</t>
        </is>
      </c>
      <c r="N44" s="23" t="inlineStr"/>
    </row>
    <row r="45">
      <c r="A45" s="18" t="inlineStr">
        <is>
          <t>Frutas</t>
        </is>
      </c>
      <c r="B45" s="19" t="n">
        <v>3</v>
      </c>
      <c r="C45" s="20" t="inlineStr">
        <is>
          <t>Laranja-pêra</t>
        </is>
      </c>
      <c r="D45" s="21" t="n">
        <v>2.55</v>
      </c>
      <c r="E45" s="22" t="inlineStr">
        <is>
          <t>Já no app</t>
        </is>
      </c>
      <c r="F45" s="23" t="inlineStr">
        <is>
          <t>Laranja, pêra, crua</t>
        </is>
      </c>
      <c r="G45" s="24" t="n">
        <v>36.77</v>
      </c>
      <c r="H45" s="25" t="n">
        <v>1.04</v>
      </c>
      <c r="I45" s="25" t="n">
        <v>8.949999999999999</v>
      </c>
      <c r="J45" s="25" t="n">
        <v>0.13</v>
      </c>
      <c r="K45" s="25" t="n">
        <v>0.77</v>
      </c>
      <c r="L45" s="24" t="n">
        <v>0</v>
      </c>
      <c r="M45" s="23" t="inlineStr">
        <is>
          <t>TACO (já no app)</t>
        </is>
      </c>
      <c r="N45" s="23" t="inlineStr"/>
    </row>
    <row r="46">
      <c r="A46" s="18" t="inlineStr">
        <is>
          <t>Frutas</t>
        </is>
      </c>
      <c r="B46" s="19" t="n">
        <v>4</v>
      </c>
      <c r="C46" s="20" t="inlineStr">
        <is>
          <t>Banana-d'água</t>
        </is>
      </c>
      <c r="D46" s="21" t="n">
        <v>2.457</v>
      </c>
      <c r="E46" s="22" t="inlineStr">
        <is>
          <t>Já no app</t>
        </is>
      </c>
      <c r="F46" s="23" t="inlineStr">
        <is>
          <t>Banana, da terra, crua</t>
        </is>
      </c>
      <c r="G46" s="24" t="n">
        <v>128.02</v>
      </c>
      <c r="H46" s="25" t="n">
        <v>1.43</v>
      </c>
      <c r="I46" s="25" t="n">
        <v>33.67</v>
      </c>
      <c r="J46" s="25" t="n">
        <v>0.24</v>
      </c>
      <c r="K46" s="25" t="n">
        <v>1.53</v>
      </c>
      <c r="L46" s="24" t="n">
        <v>0</v>
      </c>
      <c r="M46" s="23" t="inlineStr">
        <is>
          <t>TACO (já no app)</t>
        </is>
      </c>
      <c r="N46" s="23" t="inlineStr"/>
    </row>
    <row r="47">
      <c r="A47" s="18" t="inlineStr">
        <is>
          <t>Frutas</t>
        </is>
      </c>
      <c r="B47" s="19" t="n">
        <v>5</v>
      </c>
      <c r="C47" s="20" t="inlineStr">
        <is>
          <t>Maçã</t>
        </is>
      </c>
      <c r="D47" s="21" t="n">
        <v>2.12</v>
      </c>
      <c r="E47" s="22" t="inlineStr">
        <is>
          <t>Já no app</t>
        </is>
      </c>
      <c r="F47" s="23" t="inlineStr">
        <is>
          <t>Macarrão, instantâneo</t>
        </is>
      </c>
      <c r="G47" s="24" t="n">
        <v>435.86</v>
      </c>
      <c r="H47" s="25" t="n">
        <v>8.789999999999999</v>
      </c>
      <c r="I47" s="25" t="n">
        <v>62.43</v>
      </c>
      <c r="J47" s="25" t="n">
        <v>17.24</v>
      </c>
      <c r="K47" s="25" t="n">
        <v>5.61</v>
      </c>
      <c r="L47" s="24" t="n">
        <v>1515.53</v>
      </c>
      <c r="M47" s="23" t="inlineStr">
        <is>
          <t>TACO (já no app)</t>
        </is>
      </c>
      <c r="N47" s="23" t="inlineStr"/>
    </row>
    <row r="48">
      <c r="A48" s="18" t="inlineStr">
        <is>
          <t>Frutas</t>
        </is>
      </c>
      <c r="B48" s="19" t="n">
        <v>6</v>
      </c>
      <c r="C48" s="20" t="inlineStr">
        <is>
          <t>Mamão</t>
        </is>
      </c>
      <c r="D48" s="21" t="n">
        <v>1.795</v>
      </c>
      <c r="E48" s="22" t="inlineStr">
        <is>
          <t>Já no app</t>
        </is>
      </c>
      <c r="F48" s="23" t="inlineStr">
        <is>
          <t>Mamão, doce em calda, drenado</t>
        </is>
      </c>
      <c r="G48" s="24" t="n">
        <v>195.63</v>
      </c>
      <c r="H48" s="25" t="n">
        <v>0.19</v>
      </c>
      <c r="I48" s="25" t="n">
        <v>54</v>
      </c>
      <c r="J48" s="25" t="n">
        <v>0.07000000000000001</v>
      </c>
      <c r="K48" s="25" t="n">
        <v>1.31</v>
      </c>
      <c r="L48" s="24" t="n">
        <v>2.91</v>
      </c>
      <c r="M48" s="23" t="inlineStr">
        <is>
          <t>TACO (já no app)</t>
        </is>
      </c>
      <c r="N48" s="23" t="inlineStr"/>
    </row>
    <row r="49">
      <c r="A49" s="18" t="inlineStr">
        <is>
          <t>Frutas</t>
        </is>
      </c>
      <c r="B49" s="19" t="n">
        <v>7</v>
      </c>
      <c r="C49" s="20" t="inlineStr">
        <is>
          <t>Abacaxi</t>
        </is>
      </c>
      <c r="D49" s="21" t="n">
        <v>1.392</v>
      </c>
      <c r="E49" s="22" t="inlineStr">
        <is>
          <t>Já no app</t>
        </is>
      </c>
      <c r="F49" s="23" t="inlineStr">
        <is>
          <t>Abacaxi, cru</t>
        </is>
      </c>
      <c r="G49" s="24" t="n">
        <v>48.32</v>
      </c>
      <c r="H49" s="25" t="n">
        <v>0.86</v>
      </c>
      <c r="I49" s="25" t="n">
        <v>12.33</v>
      </c>
      <c r="J49" s="25" t="n">
        <v>0.12</v>
      </c>
      <c r="K49" s="25" t="n">
        <v>0.99</v>
      </c>
      <c r="L49" s="24" t="n">
        <v>0</v>
      </c>
      <c r="M49" s="23" t="inlineStr">
        <is>
          <t>TACO (já no app)</t>
        </is>
      </c>
      <c r="N49" s="23" t="inlineStr"/>
    </row>
    <row r="50">
      <c r="A50" s="18" t="inlineStr">
        <is>
          <t>Frutas</t>
        </is>
      </c>
      <c r="B50" s="19" t="n">
        <v>8</v>
      </c>
      <c r="C50" s="20" t="inlineStr">
        <is>
          <t>Manga</t>
        </is>
      </c>
      <c r="D50" s="21" t="n">
        <v>1.188</v>
      </c>
      <c r="E50" s="22" t="inlineStr">
        <is>
          <t>Já no app</t>
        </is>
      </c>
      <c r="F50" s="23" t="inlineStr">
        <is>
          <t>Cajá-Manga, cru</t>
        </is>
      </c>
      <c r="G50" s="24" t="n">
        <v>45.58</v>
      </c>
      <c r="H50" s="25" t="n">
        <v>1.28</v>
      </c>
      <c r="I50" s="25" t="n">
        <v>11.43</v>
      </c>
      <c r="J50" s="25" t="n">
        <v>0</v>
      </c>
      <c r="K50" s="25" t="n">
        <v>2.58</v>
      </c>
      <c r="L50" s="24" t="n">
        <v>1.44</v>
      </c>
      <c r="M50" s="23" t="inlineStr">
        <is>
          <t>TACO (já no app)</t>
        </is>
      </c>
      <c r="N50" s="23" t="inlineStr"/>
    </row>
    <row r="51">
      <c r="A51" s="18" t="inlineStr">
        <is>
          <t>Frutas</t>
        </is>
      </c>
      <c r="B51" s="19" t="n">
        <v>9</v>
      </c>
      <c r="C51" s="20" t="inlineStr">
        <is>
          <t>Tangerina</t>
        </is>
      </c>
      <c r="D51" s="21" t="n">
        <v>0.987</v>
      </c>
      <c r="E51" s="22" t="inlineStr">
        <is>
          <t>Já no app</t>
        </is>
      </c>
      <c r="F51" s="23" t="inlineStr">
        <is>
          <t>Tangerina, Poncã, crua</t>
        </is>
      </c>
      <c r="G51" s="24" t="n">
        <v>37.83</v>
      </c>
      <c r="H51" s="25" t="n">
        <v>0.85</v>
      </c>
      <c r="I51" s="25" t="n">
        <v>9.609999999999999</v>
      </c>
      <c r="J51" s="25" t="n">
        <v>0.07000000000000001</v>
      </c>
      <c r="K51" s="25" t="n">
        <v>0.9399999999999999</v>
      </c>
      <c r="L51" s="24" t="n">
        <v>0</v>
      </c>
      <c r="M51" s="23" t="inlineStr">
        <is>
          <t>TACO (já no app)</t>
        </is>
      </c>
      <c r="N51" s="23" t="inlineStr"/>
    </row>
    <row r="52">
      <c r="A52" s="18" t="inlineStr">
        <is>
          <t>Frutas</t>
        </is>
      </c>
      <c r="B52" s="19" t="n">
        <v>10</v>
      </c>
      <c r="C52" s="20" t="inlineStr">
        <is>
          <t>Melão</t>
        </is>
      </c>
      <c r="D52" s="21" t="n">
        <v>0.835</v>
      </c>
      <c r="E52" s="22" t="inlineStr">
        <is>
          <t>Já no app</t>
        </is>
      </c>
      <c r="F52" s="23" t="inlineStr">
        <is>
          <t>Jamelão, cru</t>
        </is>
      </c>
      <c r="G52" s="24" t="n">
        <v>41.01</v>
      </c>
      <c r="H52" s="25" t="n">
        <v>0.55</v>
      </c>
      <c r="I52" s="25" t="n">
        <v>10.63</v>
      </c>
      <c r="J52" s="25" t="n">
        <v>0.11</v>
      </c>
      <c r="K52" s="25" t="n">
        <v>1.78</v>
      </c>
      <c r="L52" s="24" t="n">
        <v>1.37</v>
      </c>
      <c r="M52" s="23" t="inlineStr">
        <is>
          <t>TACO (já no app)</t>
        </is>
      </c>
      <c r="N52" s="23" t="inlineStr"/>
    </row>
    <row r="53">
      <c r="A53" s="18" t="inlineStr">
        <is>
          <t>Frutas</t>
        </is>
      </c>
      <c r="B53" s="19" t="n">
        <v>11</v>
      </c>
      <c r="C53" s="20" t="inlineStr">
        <is>
          <t>Limão comum</t>
        </is>
      </c>
      <c r="D53" s="21" t="n">
        <v>0.8090000000000001</v>
      </c>
      <c r="E53" s="22" t="inlineStr">
        <is>
          <t>Já no app</t>
        </is>
      </c>
      <c r="F53" s="23" t="inlineStr">
        <is>
          <t>Limão, cravo, suco</t>
        </is>
      </c>
      <c r="G53" s="24" t="n">
        <v>14.1</v>
      </c>
      <c r="H53" s="25" t="n">
        <v>0.33</v>
      </c>
      <c r="I53" s="25" t="n">
        <v>5.25</v>
      </c>
      <c r="J53" s="25" t="n">
        <v>0</v>
      </c>
      <c r="K53" s="25" t="n">
        <v>0</v>
      </c>
      <c r="L53" s="24" t="n">
        <v>0</v>
      </c>
      <c r="M53" s="23" t="inlineStr">
        <is>
          <t>TACO (já no app)</t>
        </is>
      </c>
      <c r="N53" s="23" t="inlineStr"/>
    </row>
    <row r="54">
      <c r="A54" s="18" t="inlineStr">
        <is>
          <t>Frutas</t>
        </is>
      </c>
      <c r="B54" s="19" t="n">
        <v>12</v>
      </c>
      <c r="C54" s="20" t="inlineStr">
        <is>
          <t>Uva</t>
        </is>
      </c>
      <c r="D54" s="21" t="n">
        <v>0.668</v>
      </c>
      <c r="E54" s="22" t="inlineStr">
        <is>
          <t>Já no app</t>
        </is>
      </c>
      <c r="F54" s="23" t="inlineStr">
        <is>
          <t>Uva, Itália, crua</t>
        </is>
      </c>
      <c r="G54" s="24" t="n">
        <v>52.87</v>
      </c>
      <c r="H54" s="25" t="n">
        <v>0.75</v>
      </c>
      <c r="I54" s="25" t="n">
        <v>13.57</v>
      </c>
      <c r="J54" s="25" t="n">
        <v>0.2</v>
      </c>
      <c r="K54" s="25" t="n">
        <v>0.92</v>
      </c>
      <c r="L54" s="24" t="n">
        <v>0</v>
      </c>
      <c r="M54" s="23" t="inlineStr">
        <is>
          <t>TACO (já no app)</t>
        </is>
      </c>
      <c r="N54" s="23" t="inlineStr"/>
    </row>
    <row r="55">
      <c r="A55" s="18" t="inlineStr">
        <is>
          <t>Frutas</t>
        </is>
      </c>
      <c r="B55" s="19" t="n">
        <v>13</v>
      </c>
      <c r="C55" s="20" t="inlineStr">
        <is>
          <t>Laranja-lima</t>
        </is>
      </c>
      <c r="D55" s="21" t="n">
        <v>0.641</v>
      </c>
      <c r="E55" s="22" t="inlineStr">
        <is>
          <t>Já no app</t>
        </is>
      </c>
      <c r="F55" s="23" t="inlineStr">
        <is>
          <t>Laranja, lima, crua</t>
        </is>
      </c>
      <c r="G55" s="24" t="n">
        <v>45.7</v>
      </c>
      <c r="H55" s="25" t="n">
        <v>1.06</v>
      </c>
      <c r="I55" s="25" t="n">
        <v>11.53</v>
      </c>
      <c r="J55" s="25" t="n">
        <v>0.08</v>
      </c>
      <c r="K55" s="25" t="n">
        <v>1.78</v>
      </c>
      <c r="L55" s="24" t="n">
        <v>1.11</v>
      </c>
      <c r="M55" s="23" t="inlineStr">
        <is>
          <t>TACO (já no app)</t>
        </is>
      </c>
      <c r="N55" s="23" t="inlineStr"/>
    </row>
    <row r="56">
      <c r="A56" s="18" t="inlineStr">
        <is>
          <t>Frutas</t>
        </is>
      </c>
      <c r="B56" s="19" t="n">
        <v>14</v>
      </c>
      <c r="C56" s="20" t="inlineStr">
        <is>
          <t>Banana-da-terra</t>
        </is>
      </c>
      <c r="D56" s="21" t="n">
        <v>0.482</v>
      </c>
      <c r="E56" s="22" t="inlineStr">
        <is>
          <t>Já no app</t>
        </is>
      </c>
      <c r="F56" s="23" t="inlineStr">
        <is>
          <t>Banana, da terra, crua</t>
        </is>
      </c>
      <c r="G56" s="24" t="n">
        <v>128.02</v>
      </c>
      <c r="H56" s="25" t="n">
        <v>1.43</v>
      </c>
      <c r="I56" s="25" t="n">
        <v>33.67</v>
      </c>
      <c r="J56" s="25" t="n">
        <v>0.24</v>
      </c>
      <c r="K56" s="25" t="n">
        <v>1.53</v>
      </c>
      <c r="L56" s="24" t="n">
        <v>0</v>
      </c>
      <c r="M56" s="23" t="inlineStr">
        <is>
          <t>TACO (já no app)</t>
        </is>
      </c>
      <c r="N56" s="23" t="inlineStr"/>
    </row>
    <row r="57">
      <c r="A57" s="18" t="inlineStr">
        <is>
          <t>Frutas</t>
        </is>
      </c>
      <c r="B57" s="19" t="n">
        <v>15</v>
      </c>
      <c r="C57" s="20" t="inlineStr">
        <is>
          <t>Maracujá</t>
        </is>
      </c>
      <c r="D57" s="21" t="n">
        <v>0.446</v>
      </c>
      <c r="E57" s="22" t="inlineStr">
        <is>
          <t>Já no app</t>
        </is>
      </c>
      <c r="F57" s="23" t="inlineStr">
        <is>
          <t>Maracujá, cru</t>
        </is>
      </c>
      <c r="G57" s="24" t="n">
        <v>68.44</v>
      </c>
      <c r="H57" s="25" t="n">
        <v>1.99</v>
      </c>
      <c r="I57" s="25" t="n">
        <v>12.26</v>
      </c>
      <c r="J57" s="25" t="n">
        <v>2.1</v>
      </c>
      <c r="K57" s="25" t="n">
        <v>1.14</v>
      </c>
      <c r="L57" s="24" t="n">
        <v>1.58</v>
      </c>
      <c r="M57" s="23" t="inlineStr">
        <is>
          <t>TACO (já no app)</t>
        </is>
      </c>
      <c r="N57" s="23" t="inlineStr"/>
    </row>
    <row r="58">
      <c r="A58" s="18" t="inlineStr">
        <is>
          <t>Frutas</t>
        </is>
      </c>
      <c r="B58" s="19" t="n">
        <v>16</v>
      </c>
      <c r="C58" s="20" t="inlineStr">
        <is>
          <t>Goiaba</t>
        </is>
      </c>
      <c r="D58" s="21" t="n">
        <v>0.362</v>
      </c>
      <c r="E58" s="22" t="inlineStr">
        <is>
          <t>Já no app</t>
        </is>
      </c>
      <c r="F58" s="23" t="inlineStr">
        <is>
          <t>Goiaba, branca, com casca, crua</t>
        </is>
      </c>
      <c r="G58" s="24" t="n">
        <v>51.74</v>
      </c>
      <c r="H58" s="25" t="n">
        <v>0.9</v>
      </c>
      <c r="I58" s="25" t="n">
        <v>12.4</v>
      </c>
      <c r="J58" s="25" t="n">
        <v>0.49</v>
      </c>
      <c r="K58" s="25" t="n">
        <v>6.33</v>
      </c>
      <c r="L58" s="24" t="n">
        <v>0</v>
      </c>
      <c r="M58" s="23" t="inlineStr">
        <is>
          <t>TACO (já no app)</t>
        </is>
      </c>
      <c r="N58" s="23" t="inlineStr"/>
    </row>
    <row r="59">
      <c r="A59" s="18" t="inlineStr">
        <is>
          <t>Frutas</t>
        </is>
      </c>
      <c r="B59" s="19" t="n">
        <v>17</v>
      </c>
      <c r="C59" s="20" t="inlineStr">
        <is>
          <t>Abacate</t>
        </is>
      </c>
      <c r="D59" s="21" t="n">
        <v>0.321</v>
      </c>
      <c r="E59" s="22" t="inlineStr">
        <is>
          <t>Já no app</t>
        </is>
      </c>
      <c r="F59" s="23" t="inlineStr">
        <is>
          <t>Abacate, cru</t>
        </is>
      </c>
      <c r="G59" s="24" t="n">
        <v>96.15000000000001</v>
      </c>
      <c r="H59" s="25" t="n">
        <v>1.24</v>
      </c>
      <c r="I59" s="25" t="n">
        <v>6.03</v>
      </c>
      <c r="J59" s="25" t="n">
        <v>8.4</v>
      </c>
      <c r="K59" s="25" t="n">
        <v>6.31</v>
      </c>
      <c r="L59" s="24" t="n">
        <v>0</v>
      </c>
      <c r="M59" s="23" t="inlineStr">
        <is>
          <t>TACO (já no app)</t>
        </is>
      </c>
      <c r="N59" s="23" t="inlineStr"/>
    </row>
    <row r="60">
      <c r="A60" s="18" t="inlineStr">
        <is>
          <t>Frutas</t>
        </is>
      </c>
      <c r="B60" s="19" t="n">
        <v>18</v>
      </c>
      <c r="C60" s="20" t="inlineStr">
        <is>
          <t>Pêra</t>
        </is>
      </c>
      <c r="D60" s="21" t="n">
        <v>0.32</v>
      </c>
      <c r="E60" s="22" t="inlineStr">
        <is>
          <t>Já no app</t>
        </is>
      </c>
      <c r="F60" s="23" t="inlineStr">
        <is>
          <t>Mandioca, farofa, temperada</t>
        </is>
      </c>
      <c r="G60" s="24" t="n">
        <v>405.69</v>
      </c>
      <c r="H60" s="25" t="n">
        <v>2.06</v>
      </c>
      <c r="I60" s="25" t="n">
        <v>80.3</v>
      </c>
      <c r="J60" s="25" t="n">
        <v>9.119999999999999</v>
      </c>
      <c r="K60" s="25" t="n">
        <v>7.82</v>
      </c>
      <c r="L60" s="24" t="n">
        <v>574.51</v>
      </c>
      <c r="M60" s="23" t="inlineStr">
        <is>
          <t>TACO (já no app)</t>
        </is>
      </c>
      <c r="N60" s="23" t="inlineStr"/>
    </row>
    <row r="61">
      <c r="A61" s="18" t="inlineStr">
        <is>
          <t>Frutas</t>
        </is>
      </c>
      <c r="B61" s="19" t="n">
        <v>19</v>
      </c>
      <c r="C61" s="20" t="inlineStr">
        <is>
          <t>Banana-maçã</t>
        </is>
      </c>
      <c r="D61" s="21" t="n">
        <v>0.258</v>
      </c>
      <c r="E61" s="22" t="inlineStr">
        <is>
          <t>Já no app</t>
        </is>
      </c>
      <c r="F61" s="23" t="inlineStr">
        <is>
          <t>Banana, maçã, crua</t>
        </is>
      </c>
      <c r="G61" s="24" t="n">
        <v>86.81</v>
      </c>
      <c r="H61" s="25" t="n">
        <v>1.75</v>
      </c>
      <c r="I61" s="25" t="n">
        <v>22.34</v>
      </c>
      <c r="J61" s="25" t="n">
        <v>0.06</v>
      </c>
      <c r="K61" s="25" t="n">
        <v>2.59</v>
      </c>
      <c r="L61" s="24" t="n">
        <v>0</v>
      </c>
      <c r="M61" s="23" t="inlineStr">
        <is>
          <t>TACO (já no app)</t>
        </is>
      </c>
      <c r="N61" s="23" t="inlineStr"/>
    </row>
    <row r="62">
      <c r="A62" s="18" t="inlineStr">
        <is>
          <t>Frutas</t>
        </is>
      </c>
      <c r="B62" s="19" t="n">
        <v>20</v>
      </c>
      <c r="C62" s="20" t="inlineStr">
        <is>
          <t>Caqui</t>
        </is>
      </c>
      <c r="D62" s="21" t="n">
        <v>0.161</v>
      </c>
      <c r="E62" s="22" t="inlineStr">
        <is>
          <t>Já no app</t>
        </is>
      </c>
      <c r="F62" s="23" t="inlineStr">
        <is>
          <t>Caqui, chocolate, cru</t>
        </is>
      </c>
      <c r="G62" s="24" t="n">
        <v>71.34999999999999</v>
      </c>
      <c r="H62" s="25" t="n">
        <v>0.36</v>
      </c>
      <c r="I62" s="25" t="n">
        <v>19.33</v>
      </c>
      <c r="J62" s="25" t="n">
        <v>0.07000000000000001</v>
      </c>
      <c r="K62" s="25" t="n">
        <v>6.52</v>
      </c>
      <c r="L62" s="24" t="n">
        <v>2.18</v>
      </c>
      <c r="M62" s="23" t="inlineStr">
        <is>
          <t>TACO (já no app)</t>
        </is>
      </c>
      <c r="N62" s="23" t="inlineStr"/>
    </row>
    <row r="63">
      <c r="A63" s="18" t="inlineStr">
        <is>
          <t>Frutas</t>
        </is>
      </c>
      <c r="B63" s="19" t="n">
        <v>21</v>
      </c>
      <c r="C63" s="20" t="inlineStr">
        <is>
          <t>Pêssego</t>
        </is>
      </c>
      <c r="D63" s="21" t="n">
        <v>0.152</v>
      </c>
      <c r="E63" s="22" t="inlineStr">
        <is>
          <t>Já no app</t>
        </is>
      </c>
      <c r="F63" s="23" t="inlineStr">
        <is>
          <t>Pêssego, Aurora, cru</t>
        </is>
      </c>
      <c r="G63" s="24" t="n">
        <v>36.33</v>
      </c>
      <c r="H63" s="25" t="n">
        <v>0.83</v>
      </c>
      <c r="I63" s="25" t="n">
        <v>9.32</v>
      </c>
      <c r="J63" s="25" t="n">
        <v>0</v>
      </c>
      <c r="K63" s="25" t="n">
        <v>1.42</v>
      </c>
      <c r="L63" s="24" t="n">
        <v>0</v>
      </c>
      <c r="M63" s="23" t="inlineStr">
        <is>
          <t>TACO (já no app)</t>
        </is>
      </c>
      <c r="N63" s="23" t="inlineStr"/>
    </row>
    <row r="64">
      <c r="A64" s="18" t="inlineStr">
        <is>
          <t>Frutas</t>
        </is>
      </c>
      <c r="B64" s="19" t="n">
        <v>22</v>
      </c>
      <c r="C64" s="20" t="inlineStr">
        <is>
          <t>Morango</t>
        </is>
      </c>
      <c r="D64" s="21" t="n">
        <v>0.142</v>
      </c>
      <c r="E64" s="22" t="inlineStr">
        <is>
          <t>Já no app</t>
        </is>
      </c>
      <c r="F64" s="23" t="inlineStr">
        <is>
          <t>Biscoito, doce, recheado com morango</t>
        </is>
      </c>
      <c r="G64" s="24" t="n">
        <v>471.17</v>
      </c>
      <c r="H64" s="25" t="n">
        <v>5.72</v>
      </c>
      <c r="I64" s="25" t="n">
        <v>71.01000000000001</v>
      </c>
      <c r="J64" s="25" t="n">
        <v>19.57</v>
      </c>
      <c r="K64" s="25" t="n">
        <v>1.53</v>
      </c>
      <c r="L64" s="24" t="n">
        <v>229.82</v>
      </c>
      <c r="M64" s="23" t="inlineStr">
        <is>
          <t>TACO (já no app)</t>
        </is>
      </c>
      <c r="N64" s="23" t="inlineStr"/>
    </row>
    <row r="65">
      <c r="A65" s="18" t="inlineStr">
        <is>
          <t>Frutas</t>
        </is>
      </c>
      <c r="B65" s="19" t="n">
        <v>23</v>
      </c>
      <c r="C65" s="20" t="inlineStr">
        <is>
          <t>Laranja-baía</t>
        </is>
      </c>
      <c r="D65" s="21" t="n">
        <v>0.121</v>
      </c>
      <c r="E65" s="22" t="inlineStr">
        <is>
          <t>Já no app</t>
        </is>
      </c>
      <c r="F65" s="23" t="inlineStr">
        <is>
          <t>Laranja, baía, crua</t>
        </is>
      </c>
      <c r="G65" s="24" t="n">
        <v>45.44</v>
      </c>
      <c r="H65" s="25" t="n">
        <v>0.98</v>
      </c>
      <c r="I65" s="25" t="n">
        <v>11.47</v>
      </c>
      <c r="J65" s="25" t="n">
        <v>0.1</v>
      </c>
      <c r="K65" s="25" t="n">
        <v>1.12</v>
      </c>
      <c r="L65" s="24" t="n">
        <v>0</v>
      </c>
      <c r="M65" s="23" t="inlineStr">
        <is>
          <t>TACO (já no app)</t>
        </is>
      </c>
      <c r="N65" s="23" t="inlineStr"/>
    </row>
    <row r="66">
      <c r="A66" s="18" t="inlineStr">
        <is>
          <t>Frutas</t>
        </is>
      </c>
      <c r="B66" s="19" t="n">
        <v>24</v>
      </c>
      <c r="C66" s="20" t="inlineStr">
        <is>
          <t>Laranja-seleta</t>
        </is>
      </c>
      <c r="D66" s="21" t="n">
        <v>0.121</v>
      </c>
      <c r="E66" s="22" t="inlineStr">
        <is>
          <t>Já no app</t>
        </is>
      </c>
      <c r="F66" s="23" t="inlineStr">
        <is>
          <t>Laranja, baía, crua</t>
        </is>
      </c>
      <c r="G66" s="24" t="n">
        <v>45.44</v>
      </c>
      <c r="H66" s="25" t="n">
        <v>0.98</v>
      </c>
      <c r="I66" s="25" t="n">
        <v>11.47</v>
      </c>
      <c r="J66" s="25" t="n">
        <v>0.1</v>
      </c>
      <c r="K66" s="25" t="n">
        <v>1.12</v>
      </c>
      <c r="L66" s="24" t="n">
        <v>0</v>
      </c>
      <c r="M66" s="23" t="inlineStr">
        <is>
          <t>TACO (já no app)</t>
        </is>
      </c>
      <c r="N66" s="23" t="inlineStr"/>
    </row>
    <row r="67">
      <c r="A67" s="18" t="inlineStr">
        <is>
          <t>Frutas</t>
        </is>
      </c>
      <c r="B67" s="19" t="n">
        <v>25</v>
      </c>
      <c r="C67" s="20" t="inlineStr">
        <is>
          <t>Acerola</t>
        </is>
      </c>
      <c r="D67" s="21" t="n">
        <v>0.107</v>
      </c>
      <c r="E67" s="22" t="inlineStr">
        <is>
          <t>Já no app</t>
        </is>
      </c>
      <c r="F67" s="23" t="inlineStr">
        <is>
          <t>Acerola, crua</t>
        </is>
      </c>
      <c r="G67" s="24" t="n">
        <v>33.46</v>
      </c>
      <c r="H67" s="25" t="n">
        <v>0.91</v>
      </c>
      <c r="I67" s="25" t="n">
        <v>7.97</v>
      </c>
      <c r="J67" s="25" t="n">
        <v>0.21</v>
      </c>
      <c r="K67" s="25" t="n">
        <v>1.51</v>
      </c>
      <c r="L67" s="24" t="n">
        <v>0</v>
      </c>
      <c r="M67" s="23" t="inlineStr">
        <is>
          <t>TACO (já no app)</t>
        </is>
      </c>
      <c r="N67" s="23" t="inlineStr"/>
    </row>
    <row r="68">
      <c r="A68" s="18" t="inlineStr">
        <is>
          <t>Frutas</t>
        </is>
      </c>
      <c r="B68" s="19" t="n">
        <v>26</v>
      </c>
      <c r="C68" s="20" t="inlineStr">
        <is>
          <t>Ameixa</t>
        </is>
      </c>
      <c r="D68" s="21" t="n">
        <v>0.106</v>
      </c>
      <c r="E68" s="22" t="inlineStr">
        <is>
          <t>Já no app</t>
        </is>
      </c>
      <c r="F68" s="23" t="inlineStr">
        <is>
          <t>Ameixa, calda, enlatada</t>
        </is>
      </c>
      <c r="G68" s="24" t="n">
        <v>182.85</v>
      </c>
      <c r="H68" s="25" t="n">
        <v>0.41</v>
      </c>
      <c r="I68" s="25" t="n">
        <v>46.89</v>
      </c>
      <c r="J68" s="25" t="n">
        <v>0</v>
      </c>
      <c r="K68" s="25" t="n">
        <v>0.52</v>
      </c>
      <c r="L68" s="24" t="n">
        <v>2.7</v>
      </c>
      <c r="M68" s="23" t="inlineStr">
        <is>
          <t>TACO (já no app)</t>
        </is>
      </c>
      <c r="N68" s="23" t="inlineStr"/>
    </row>
    <row r="69">
      <c r="A69" s="18" t="inlineStr">
        <is>
          <t>Frutas</t>
        </is>
      </c>
      <c r="B69" s="19" t="n">
        <v>27</v>
      </c>
      <c r="C69" s="20" t="inlineStr">
        <is>
          <t>Banana-ouro</t>
        </is>
      </c>
      <c r="D69" s="21" t="n">
        <v>0.005</v>
      </c>
      <c r="E69" s="22" t="inlineStr">
        <is>
          <t>Já no app</t>
        </is>
      </c>
      <c r="F69" s="23" t="inlineStr">
        <is>
          <t>Banana, ouro, crua</t>
        </is>
      </c>
      <c r="G69" s="24" t="n">
        <v>112.37</v>
      </c>
      <c r="H69" s="25" t="n">
        <v>1.48</v>
      </c>
      <c r="I69" s="25" t="n">
        <v>29.34</v>
      </c>
      <c r="J69" s="25" t="n">
        <v>0.21</v>
      </c>
      <c r="K69" s="25" t="n">
        <v>1.95</v>
      </c>
      <c r="L69" s="24" t="n">
        <v>0</v>
      </c>
      <c r="M69" s="23" t="inlineStr">
        <is>
          <t>TACO (já no app)</t>
        </is>
      </c>
      <c r="N69" s="23" t="inlineStr"/>
    </row>
    <row r="70">
      <c r="A70" s="18" t="inlineStr">
        <is>
          <t>Hortaliças</t>
        </is>
      </c>
      <c r="B70" s="19" t="n">
        <v>1</v>
      </c>
      <c r="C70" s="20" t="inlineStr">
        <is>
          <t>Tomate</t>
        </is>
      </c>
      <c r="D70" s="21" t="n">
        <v>4.209</v>
      </c>
      <c r="E70" s="22" t="inlineStr">
        <is>
          <t>Já no app</t>
        </is>
      </c>
      <c r="F70" s="23" t="inlineStr">
        <is>
          <t>Tomate, com semente, cru</t>
        </is>
      </c>
      <c r="G70" s="24" t="n">
        <v>15.34</v>
      </c>
      <c r="H70" s="25" t="n">
        <v>1.1</v>
      </c>
      <c r="I70" s="25" t="n">
        <v>3.14</v>
      </c>
      <c r="J70" s="25" t="n">
        <v>0.17</v>
      </c>
      <c r="K70" s="25" t="n">
        <v>1.17</v>
      </c>
      <c r="L70" s="24" t="n">
        <v>1.02</v>
      </c>
      <c r="M70" s="23" t="inlineStr">
        <is>
          <t>TACO (já no app)</t>
        </is>
      </c>
      <c r="N70" s="23" t="inlineStr"/>
    </row>
    <row r="71">
      <c r="A71" s="18" t="inlineStr">
        <is>
          <t>Hortaliças</t>
        </is>
      </c>
      <c r="B71" s="19" t="n">
        <v>2</v>
      </c>
      <c r="C71" s="20" t="inlineStr">
        <is>
          <t>Batata-inglesa</t>
        </is>
      </c>
      <c r="D71" s="21" t="n">
        <v>4.017</v>
      </c>
      <c r="E71" s="22" t="inlineStr">
        <is>
          <t>Já no app</t>
        </is>
      </c>
      <c r="F71" s="23" t="inlineStr">
        <is>
          <t>Batata, inglesa, cozida</t>
        </is>
      </c>
      <c r="G71" s="24" t="n">
        <v>51.59</v>
      </c>
      <c r="H71" s="25" t="n">
        <v>1.16</v>
      </c>
      <c r="I71" s="25" t="n">
        <v>11.94</v>
      </c>
      <c r="J71" s="25" t="n">
        <v>0</v>
      </c>
      <c r="K71" s="25" t="n">
        <v>1.34</v>
      </c>
      <c r="L71" s="24" t="n">
        <v>2.29</v>
      </c>
      <c r="M71" s="23" t="inlineStr">
        <is>
          <t>TACO (já no app)</t>
        </is>
      </c>
      <c r="N71" s="23" t="inlineStr"/>
    </row>
    <row r="72">
      <c r="A72" s="18" t="inlineStr">
        <is>
          <t>Hortaliças</t>
        </is>
      </c>
      <c r="B72" s="19" t="n">
        <v>3</v>
      </c>
      <c r="C72" s="20" t="inlineStr">
        <is>
          <t>Cebola</t>
        </is>
      </c>
      <c r="D72" s="21" t="n">
        <v>3.104</v>
      </c>
      <c r="E72" s="22" t="inlineStr">
        <is>
          <t>Já no app</t>
        </is>
      </c>
      <c r="F72" s="23" t="inlineStr">
        <is>
          <t>Cebola, crua</t>
        </is>
      </c>
      <c r="G72" s="24" t="n">
        <v>39.42</v>
      </c>
      <c r="H72" s="25" t="n">
        <v>1.71</v>
      </c>
      <c r="I72" s="25" t="n">
        <v>8.85</v>
      </c>
      <c r="J72" s="25" t="n">
        <v>0.08</v>
      </c>
      <c r="K72" s="25" t="n">
        <v>2.19</v>
      </c>
      <c r="L72" s="24" t="n">
        <v>0.6</v>
      </c>
      <c r="M72" s="23" t="inlineStr">
        <is>
          <t>TACO (já no app)</t>
        </is>
      </c>
      <c r="N72" s="23" t="inlineStr"/>
    </row>
    <row r="73">
      <c r="A73" s="18" t="inlineStr">
        <is>
          <t>Hortaliças</t>
        </is>
      </c>
      <c r="B73" s="19" t="n">
        <v>4</v>
      </c>
      <c r="C73" s="20" t="inlineStr">
        <is>
          <t>Cenoura</t>
        </is>
      </c>
      <c r="D73" s="21" t="n">
        <v>1.494</v>
      </c>
      <c r="E73" s="22" t="inlineStr">
        <is>
          <t>Já no app</t>
        </is>
      </c>
      <c r="F73" s="23" t="inlineStr">
        <is>
          <t>Cenoura, cozida</t>
        </is>
      </c>
      <c r="G73" s="24" t="n">
        <v>29.86</v>
      </c>
      <c r="H73" s="25" t="n">
        <v>0.85</v>
      </c>
      <c r="I73" s="25" t="n">
        <v>6.69</v>
      </c>
      <c r="J73" s="25" t="n">
        <v>0.22</v>
      </c>
      <c r="K73" s="25" t="n">
        <v>2.63</v>
      </c>
      <c r="L73" s="24" t="n">
        <v>7.88</v>
      </c>
      <c r="M73" s="23" t="inlineStr">
        <is>
          <t>TACO (já no app)</t>
        </is>
      </c>
      <c r="N73" s="23" t="inlineStr"/>
    </row>
    <row r="74">
      <c r="A74" s="18" t="inlineStr">
        <is>
          <t>Hortaliças</t>
        </is>
      </c>
      <c r="B74" s="19" t="n">
        <v>5</v>
      </c>
      <c r="C74" s="20" t="inlineStr">
        <is>
          <t>Mandioca</t>
        </is>
      </c>
      <c r="D74" s="21" t="n">
        <v>1.319</v>
      </c>
      <c r="E74" s="22" t="inlineStr">
        <is>
          <t>Já no app</t>
        </is>
      </c>
      <c r="F74" s="23" t="inlineStr">
        <is>
          <t>Farinha, de mandioca, crua</t>
        </is>
      </c>
      <c r="G74" s="24" t="n">
        <v>360.87</v>
      </c>
      <c r="H74" s="25" t="n">
        <v>1.55</v>
      </c>
      <c r="I74" s="25" t="n">
        <v>87.90000000000001</v>
      </c>
      <c r="J74" s="25" t="n">
        <v>0.28</v>
      </c>
      <c r="K74" s="25" t="n">
        <v>6.39</v>
      </c>
      <c r="L74" s="24" t="n">
        <v>1.02</v>
      </c>
      <c r="M74" s="23" t="inlineStr">
        <is>
          <t>TACO (já no app)</t>
        </is>
      </c>
      <c r="N74" s="23" t="inlineStr"/>
    </row>
    <row r="75">
      <c r="A75" s="18" t="inlineStr">
        <is>
          <t>Hortaliças</t>
        </is>
      </c>
      <c r="B75" s="19" t="n">
        <v>6</v>
      </c>
      <c r="C75" s="20" t="inlineStr">
        <is>
          <t>Batata-doce</t>
        </is>
      </c>
      <c r="D75" s="21" t="n">
        <v>1.243</v>
      </c>
      <c r="E75" s="22" t="inlineStr">
        <is>
          <t>Já no app</t>
        </is>
      </c>
      <c r="F75" s="23" t="inlineStr">
        <is>
          <t>Batata, doce, cozida</t>
        </is>
      </c>
      <c r="G75" s="24" t="n">
        <v>76.76000000000001</v>
      </c>
      <c r="H75" s="25" t="n">
        <v>0.64</v>
      </c>
      <c r="I75" s="25" t="n">
        <v>18.42</v>
      </c>
      <c r="J75" s="25" t="n">
        <v>0.09</v>
      </c>
      <c r="K75" s="25" t="n">
        <v>2.21</v>
      </c>
      <c r="L75" s="24" t="n">
        <v>2.7</v>
      </c>
      <c r="M75" s="23" t="inlineStr">
        <is>
          <t>TACO (já no app)</t>
        </is>
      </c>
      <c r="N75" s="23" t="inlineStr"/>
    </row>
    <row r="76">
      <c r="A76" s="18" t="inlineStr">
        <is>
          <t>Hortaliças</t>
        </is>
      </c>
      <c r="B76" s="19" t="n">
        <v>7</v>
      </c>
      <c r="C76" s="20" t="inlineStr">
        <is>
          <t>Abóbora</t>
        </is>
      </c>
      <c r="D76" s="21" t="n">
        <v>1.022</v>
      </c>
      <c r="E76" s="22" t="inlineStr">
        <is>
          <t>Já no app</t>
        </is>
      </c>
      <c r="F76" s="23" t="inlineStr">
        <is>
          <t>Abóbora, cabotian, cozida</t>
        </is>
      </c>
      <c r="G76" s="24" t="n">
        <v>48.04</v>
      </c>
      <c r="H76" s="25" t="n">
        <v>1.44</v>
      </c>
      <c r="I76" s="25" t="n">
        <v>10.76</v>
      </c>
      <c r="J76" s="25" t="n">
        <v>0.73</v>
      </c>
      <c r="K76" s="25" t="n">
        <v>2.46</v>
      </c>
      <c r="L76" s="24" t="n">
        <v>1.45</v>
      </c>
      <c r="M76" s="23" t="inlineStr">
        <is>
          <t>TACO (já no app)</t>
        </is>
      </c>
      <c r="N76" s="23" t="inlineStr"/>
    </row>
    <row r="77">
      <c r="A77" s="18" t="inlineStr">
        <is>
          <t>Hortaliças</t>
        </is>
      </c>
      <c r="B77" s="19" t="n">
        <v>8</v>
      </c>
      <c r="C77" s="20" t="inlineStr">
        <is>
          <t>Repolho</t>
        </is>
      </c>
      <c r="D77" s="21" t="n">
        <v>0.707</v>
      </c>
      <c r="E77" s="22" t="inlineStr">
        <is>
          <t>Já no app</t>
        </is>
      </c>
      <c r="F77" s="23" t="inlineStr">
        <is>
          <t>Repolho, branco, cru</t>
        </is>
      </c>
      <c r="G77" s="24" t="n">
        <v>17.12</v>
      </c>
      <c r="H77" s="25" t="n">
        <v>0.88</v>
      </c>
      <c r="I77" s="25" t="n">
        <v>3.86</v>
      </c>
      <c r="J77" s="25" t="n">
        <v>0.14</v>
      </c>
      <c r="K77" s="25" t="n">
        <v>1.89</v>
      </c>
      <c r="L77" s="24" t="n">
        <v>3.64</v>
      </c>
      <c r="M77" s="23" t="inlineStr">
        <is>
          <t>TACO (já no app)</t>
        </is>
      </c>
      <c r="N77" s="23" t="inlineStr"/>
    </row>
    <row r="78">
      <c r="A78" s="18" t="inlineStr">
        <is>
          <t>Hortaliças</t>
        </is>
      </c>
      <c r="B78" s="19" t="n">
        <v>9</v>
      </c>
      <c r="C78" s="20" t="inlineStr">
        <is>
          <t>Alface</t>
        </is>
      </c>
      <c r="D78" s="21" t="n">
        <v>0.6899999999999999</v>
      </c>
      <c r="E78" s="22" t="inlineStr">
        <is>
          <t>Já no app</t>
        </is>
      </c>
      <c r="F78" s="23" t="inlineStr">
        <is>
          <t>Alface, americana, crua</t>
        </is>
      </c>
      <c r="G78" s="24" t="n">
        <v>8.789999999999999</v>
      </c>
      <c r="H78" s="25" t="n">
        <v>0.61</v>
      </c>
      <c r="I78" s="25" t="n">
        <v>1.75</v>
      </c>
      <c r="J78" s="25" t="n">
        <v>0.13</v>
      </c>
      <c r="K78" s="25" t="n">
        <v>1.02</v>
      </c>
      <c r="L78" s="24" t="n">
        <v>7.31</v>
      </c>
      <c r="M78" s="23" t="inlineStr">
        <is>
          <t>TACO (já no app)</t>
        </is>
      </c>
      <c r="N78" s="23" t="inlineStr"/>
    </row>
    <row r="79">
      <c r="A79" s="18" t="inlineStr">
        <is>
          <t>Hortaliças</t>
        </is>
      </c>
      <c r="B79" s="19" t="n">
        <v>10</v>
      </c>
      <c r="C79" s="20" t="inlineStr">
        <is>
          <t>Chuchu</t>
        </is>
      </c>
      <c r="D79" s="21" t="n">
        <v>0.651</v>
      </c>
      <c r="E79" s="22" t="inlineStr">
        <is>
          <t>Já no app</t>
        </is>
      </c>
      <c r="F79" s="23" t="inlineStr">
        <is>
          <t>Chuchu, cozido</t>
        </is>
      </c>
      <c r="G79" s="24" t="n">
        <v>18.54</v>
      </c>
      <c r="H79" s="25" t="n">
        <v>0.41</v>
      </c>
      <c r="I79" s="25" t="n">
        <v>4.79</v>
      </c>
      <c r="J79" s="25" t="n">
        <v>0</v>
      </c>
      <c r="K79" s="25" t="n">
        <v>1.04</v>
      </c>
      <c r="L79" s="24" t="n">
        <v>1.81</v>
      </c>
      <c r="M79" s="23" t="inlineStr">
        <is>
          <t>TACO (já no app)</t>
        </is>
      </c>
      <c r="N79" s="23" t="inlineStr"/>
    </row>
    <row r="80">
      <c r="A80" s="18" t="inlineStr">
        <is>
          <t>Hortaliças</t>
        </is>
      </c>
      <c r="B80" s="19" t="n">
        <v>11</v>
      </c>
      <c r="C80" s="20" t="inlineStr">
        <is>
          <t>Alho</t>
        </is>
      </c>
      <c r="D80" s="21" t="n">
        <v>0.511</v>
      </c>
      <c r="E80" s="22" t="inlineStr">
        <is>
          <t>Já no app</t>
        </is>
      </c>
      <c r="F80" s="23" t="inlineStr">
        <is>
          <t>Alho, cru</t>
        </is>
      </c>
      <c r="G80" s="24" t="n">
        <v>113.13</v>
      </c>
      <c r="H80" s="25" t="n">
        <v>7.01</v>
      </c>
      <c r="I80" s="25" t="n">
        <v>23.91</v>
      </c>
      <c r="J80" s="25" t="n">
        <v>0.22</v>
      </c>
      <c r="K80" s="25" t="n">
        <v>4.32</v>
      </c>
      <c r="L80" s="24" t="n">
        <v>5.36</v>
      </c>
      <c r="M80" s="23" t="inlineStr">
        <is>
          <t>TACO (já no app)</t>
        </is>
      </c>
      <c r="N80" s="23" t="inlineStr"/>
    </row>
    <row r="81">
      <c r="A81" s="18" t="inlineStr">
        <is>
          <t>Hortaliças</t>
        </is>
      </c>
      <c r="B81" s="19" t="n">
        <v>12</v>
      </c>
      <c r="C81" s="20" t="inlineStr">
        <is>
          <t>Pimentão</t>
        </is>
      </c>
      <c r="D81" s="21" t="n">
        <v>0.464</v>
      </c>
      <c r="E81" s="22" t="inlineStr">
        <is>
          <t>Já no app</t>
        </is>
      </c>
      <c r="F81" s="23" t="inlineStr">
        <is>
          <t>Pimentão, amarelo, cru</t>
        </is>
      </c>
      <c r="G81" s="24" t="n">
        <v>27.93</v>
      </c>
      <c r="H81" s="25" t="n">
        <v>1.22</v>
      </c>
      <c r="I81" s="25" t="n">
        <v>5.96</v>
      </c>
      <c r="J81" s="25" t="n">
        <v>0.44</v>
      </c>
      <c r="K81" s="25" t="n">
        <v>1.92</v>
      </c>
      <c r="L81" s="24" t="n">
        <v>0</v>
      </c>
      <c r="M81" s="23" t="inlineStr">
        <is>
          <t>TACO (já no app)</t>
        </is>
      </c>
      <c r="N81" s="23" t="inlineStr"/>
    </row>
    <row r="82">
      <c r="A82" s="18" t="inlineStr">
        <is>
          <t>Hortaliças</t>
        </is>
      </c>
      <c r="B82" s="19" t="n">
        <v>13</v>
      </c>
      <c r="C82" s="20" t="inlineStr">
        <is>
          <t>Pepino fresco</t>
        </is>
      </c>
      <c r="D82" s="21" t="n">
        <v>0.407</v>
      </c>
      <c r="E82" s="22" t="inlineStr">
        <is>
          <t>Já no app</t>
        </is>
      </c>
      <c r="F82" s="23" t="inlineStr">
        <is>
          <t>Pepino, cru</t>
        </is>
      </c>
      <c r="G82" s="24" t="n">
        <v>9.529999999999999</v>
      </c>
      <c r="H82" s="25" t="n">
        <v>0.87</v>
      </c>
      <c r="I82" s="25" t="n">
        <v>2.04</v>
      </c>
      <c r="J82" s="25" t="n">
        <v>0</v>
      </c>
      <c r="K82" s="25" t="n">
        <v>1.12</v>
      </c>
      <c r="L82" s="24" t="n">
        <v>0</v>
      </c>
      <c r="M82" s="23" t="inlineStr">
        <is>
          <t>TACO (já no app)</t>
        </is>
      </c>
      <c r="N82" s="23" t="inlineStr"/>
    </row>
    <row r="83">
      <c r="A83" s="18" t="inlineStr">
        <is>
          <t>Hortaliças</t>
        </is>
      </c>
      <c r="B83" s="19" t="n">
        <v>14</v>
      </c>
      <c r="C83" s="20" t="inlineStr">
        <is>
          <t>Beterraba</t>
        </is>
      </c>
      <c r="D83" s="21" t="n">
        <v>0.404</v>
      </c>
      <c r="E83" s="22" t="inlineStr">
        <is>
          <t>Já no app</t>
        </is>
      </c>
      <c r="F83" s="23" t="inlineStr">
        <is>
          <t>Beterraba, cozida</t>
        </is>
      </c>
      <c r="G83" s="24" t="n">
        <v>32.15</v>
      </c>
      <c r="H83" s="25" t="n">
        <v>1.29</v>
      </c>
      <c r="I83" s="25" t="n">
        <v>7.23</v>
      </c>
      <c r="J83" s="25" t="n">
        <v>0.09</v>
      </c>
      <c r="K83" s="25" t="n">
        <v>1.88</v>
      </c>
      <c r="L83" s="24" t="n">
        <v>22.76</v>
      </c>
      <c r="M83" s="23" t="inlineStr">
        <is>
          <t>TACO (já no app)</t>
        </is>
      </c>
      <c r="N83" s="23" t="inlineStr"/>
    </row>
    <row r="84">
      <c r="A84" s="18" t="inlineStr">
        <is>
          <t>Hortaliças</t>
        </is>
      </c>
      <c r="B84" s="19" t="n">
        <v>15</v>
      </c>
      <c r="C84" s="20" t="inlineStr">
        <is>
          <t>Abobrinha</t>
        </is>
      </c>
      <c r="D84" s="21" t="n">
        <v>0.356</v>
      </c>
      <c r="E84" s="22" t="inlineStr">
        <is>
          <t>Já no app</t>
        </is>
      </c>
      <c r="F84" s="23" t="inlineStr">
        <is>
          <t>Abobrinha, italiana, cozida</t>
        </is>
      </c>
      <c r="G84" s="24" t="n">
        <v>15.04</v>
      </c>
      <c r="H84" s="25" t="n">
        <v>1.13</v>
      </c>
      <c r="I84" s="25" t="n">
        <v>2.98</v>
      </c>
      <c r="J84" s="25" t="n">
        <v>0.2</v>
      </c>
      <c r="K84" s="25" t="n">
        <v>1.59</v>
      </c>
      <c r="L84" s="24" t="n">
        <v>0.83</v>
      </c>
      <c r="M84" s="23" t="inlineStr">
        <is>
          <t>TACO (já no app)</t>
        </is>
      </c>
      <c r="N84" s="23" t="inlineStr"/>
    </row>
    <row r="85">
      <c r="A85" s="18" t="inlineStr">
        <is>
          <t>Hortaliças</t>
        </is>
      </c>
      <c r="B85" s="19" t="n">
        <v>16</v>
      </c>
      <c r="C85" s="20" t="inlineStr">
        <is>
          <t>Couve</t>
        </is>
      </c>
      <c r="D85" s="21" t="n">
        <v>0.298</v>
      </c>
      <c r="E85" s="22" t="inlineStr">
        <is>
          <t>Já no app</t>
        </is>
      </c>
      <c r="F85" s="23" t="inlineStr">
        <is>
          <t>Couve, manteiga, crua</t>
        </is>
      </c>
      <c r="G85" s="24" t="n">
        <v>27.06</v>
      </c>
      <c r="H85" s="25" t="n">
        <v>2.87</v>
      </c>
      <c r="I85" s="25" t="n">
        <v>4.33</v>
      </c>
      <c r="J85" s="25" t="n">
        <v>0.55</v>
      </c>
      <c r="K85" s="25" t="n">
        <v>3.12</v>
      </c>
      <c r="L85" s="24" t="n">
        <v>6.17</v>
      </c>
      <c r="M85" s="23" t="inlineStr">
        <is>
          <t>TACO (já no app)</t>
        </is>
      </c>
      <c r="N85" s="23" t="inlineStr"/>
    </row>
    <row r="86">
      <c r="A86" s="18" t="inlineStr">
        <is>
          <t>Hortaliças</t>
        </is>
      </c>
      <c r="B86" s="19" t="n">
        <v>17</v>
      </c>
      <c r="C86" s="20" t="inlineStr">
        <is>
          <t>Inhame</t>
        </is>
      </c>
      <c r="D86" s="21" t="n">
        <v>0.273</v>
      </c>
      <c r="E86" s="22" t="inlineStr">
        <is>
          <t>Já no app</t>
        </is>
      </c>
      <c r="F86" s="23" t="inlineStr">
        <is>
          <t>Inhame, cru</t>
        </is>
      </c>
      <c r="G86" s="24" t="n">
        <v>96.7</v>
      </c>
      <c r="H86" s="25" t="n">
        <v>2.05</v>
      </c>
      <c r="I86" s="25" t="n">
        <v>23.23</v>
      </c>
      <c r="J86" s="25" t="n">
        <v>0.21</v>
      </c>
      <c r="K86" s="25" t="n">
        <v>1.65</v>
      </c>
      <c r="L86" s="24" t="n">
        <v>0</v>
      </c>
      <c r="M86" s="23" t="inlineStr">
        <is>
          <t>TACO (já no app)</t>
        </is>
      </c>
      <c r="N86" s="23" t="inlineStr"/>
    </row>
    <row r="87">
      <c r="A87" s="18" t="inlineStr">
        <is>
          <t>Hortaliças</t>
        </is>
      </c>
      <c r="B87" s="19" t="n">
        <v>18</v>
      </c>
      <c r="C87" s="20" t="inlineStr">
        <is>
          <t>Quiabo</t>
        </is>
      </c>
      <c r="D87" s="21" t="n">
        <v>0.221</v>
      </c>
      <c r="E87" s="22" t="inlineStr">
        <is>
          <t>Já no app</t>
        </is>
      </c>
      <c r="F87" s="23" t="inlineStr">
        <is>
          <t>Quiabo, cru</t>
        </is>
      </c>
      <c r="G87" s="24" t="n">
        <v>29.94</v>
      </c>
      <c r="H87" s="25" t="n">
        <v>1.92</v>
      </c>
      <c r="I87" s="25" t="n">
        <v>6.37</v>
      </c>
      <c r="J87" s="25" t="n">
        <v>0.3</v>
      </c>
      <c r="K87" s="25" t="n">
        <v>4.55</v>
      </c>
      <c r="L87" s="24" t="n">
        <v>0.89</v>
      </c>
      <c r="M87" s="23" t="inlineStr">
        <is>
          <t>TACO (já no app)</t>
        </is>
      </c>
      <c r="N87" s="23" t="inlineStr"/>
    </row>
    <row r="88">
      <c r="A88" s="18" t="inlineStr">
        <is>
          <t>Hortaliças</t>
        </is>
      </c>
      <c r="B88" s="19" t="n">
        <v>19</v>
      </c>
      <c r="C88" s="20" t="inlineStr">
        <is>
          <t>Cheiro-verde</t>
        </is>
      </c>
      <c r="D88" s="21" t="n">
        <v>0.217</v>
      </c>
      <c r="E88" s="22" t="inlineStr">
        <is>
          <t>Já no app</t>
        </is>
      </c>
      <c r="F88" s="23" t="inlineStr">
        <is>
          <t>Salsa, crua + Cebolinha, crua (é a mistura das duas)</t>
        </is>
      </c>
      <c r="G88" s="24" t="n"/>
      <c r="H88" s="25" t="n"/>
      <c r="I88" s="25" t="n"/>
      <c r="J88" s="25" t="n"/>
      <c r="K88" s="25" t="n"/>
      <c r="L88" s="24" t="n"/>
      <c r="M88" s="23" t="inlineStr">
        <is>
          <t>já no app (equivalente)</t>
        </is>
      </c>
      <c r="N88" s="23" t="inlineStr">
        <is>
          <t>Salsa, crua + Cebolinha, crua (é a mistura das duas)</t>
        </is>
      </c>
    </row>
    <row r="89">
      <c r="A89" s="18" t="inlineStr">
        <is>
          <t>Hortaliças</t>
        </is>
      </c>
      <c r="B89" s="19" t="n">
        <v>20</v>
      </c>
      <c r="C89" s="20" t="inlineStr">
        <is>
          <t>Berinjela</t>
        </is>
      </c>
      <c r="D89" s="21" t="n">
        <v>0.167</v>
      </c>
      <c r="E89" s="22" t="inlineStr">
        <is>
          <t>Já no app</t>
        </is>
      </c>
      <c r="F89" s="23" t="inlineStr">
        <is>
          <t>Berinjela, cozida</t>
        </is>
      </c>
      <c r="G89" s="24" t="n">
        <v>18.85</v>
      </c>
      <c r="H89" s="25" t="n">
        <v>0.68</v>
      </c>
      <c r="I89" s="25" t="n">
        <v>4.47</v>
      </c>
      <c r="J89" s="25" t="n">
        <v>0.15</v>
      </c>
      <c r="K89" s="25" t="n">
        <v>2.52</v>
      </c>
      <c r="L89" s="24" t="n">
        <v>1.33</v>
      </c>
      <c r="M89" s="23" t="inlineStr">
        <is>
          <t>TACO (já no app)</t>
        </is>
      </c>
      <c r="N89" s="23" t="inlineStr"/>
    </row>
    <row r="90">
      <c r="A90" s="18" t="inlineStr">
        <is>
          <t>Hortaliças</t>
        </is>
      </c>
      <c r="B90" s="19" t="n">
        <v>21</v>
      </c>
      <c r="C90" s="20" t="inlineStr">
        <is>
          <t>Couve-brócolis</t>
        </is>
      </c>
      <c r="D90" s="21" t="n">
        <v>0.135</v>
      </c>
      <c r="E90" s="22" t="inlineStr">
        <is>
          <t>Já no app</t>
        </is>
      </c>
      <c r="F90" s="23" t="inlineStr">
        <is>
          <t>Couve, manteiga, crua</t>
        </is>
      </c>
      <c r="G90" s="24" t="n">
        <v>27.06</v>
      </c>
      <c r="H90" s="25" t="n">
        <v>2.87</v>
      </c>
      <c r="I90" s="25" t="n">
        <v>4.33</v>
      </c>
      <c r="J90" s="25" t="n">
        <v>0.55</v>
      </c>
      <c r="K90" s="25" t="n">
        <v>3.12</v>
      </c>
      <c r="L90" s="24" t="n">
        <v>6.17</v>
      </c>
      <c r="M90" s="23" t="inlineStr">
        <is>
          <t>TACO (já no app)</t>
        </is>
      </c>
      <c r="N90" s="23" t="inlineStr"/>
    </row>
    <row r="91">
      <c r="A91" s="18" t="inlineStr">
        <is>
          <t>Hortaliças</t>
        </is>
      </c>
      <c r="B91" s="19" t="n">
        <v>22</v>
      </c>
      <c r="C91" s="20" t="inlineStr">
        <is>
          <t>Jiló</t>
        </is>
      </c>
      <c r="D91" s="21" t="n">
        <v>0.134</v>
      </c>
      <c r="E91" s="22" t="inlineStr">
        <is>
          <t>Já no app</t>
        </is>
      </c>
      <c r="F91" s="23" t="inlineStr">
        <is>
          <t>Jiló, cru</t>
        </is>
      </c>
      <c r="G91" s="24" t="n">
        <v>27.37</v>
      </c>
      <c r="H91" s="25" t="n">
        <v>1.4</v>
      </c>
      <c r="I91" s="25" t="n">
        <v>6.19</v>
      </c>
      <c r="J91" s="25" t="n">
        <v>0.22</v>
      </c>
      <c r="K91" s="25" t="n">
        <v>4.83</v>
      </c>
      <c r="L91" s="24" t="n">
        <v>0</v>
      </c>
      <c r="M91" s="23" t="inlineStr">
        <is>
          <t>TACO (já no app)</t>
        </is>
      </c>
      <c r="N91" s="23" t="inlineStr"/>
    </row>
    <row r="92">
      <c r="A92" s="18" t="inlineStr">
        <is>
          <t>Hortaliças</t>
        </is>
      </c>
      <c r="B92" s="19" t="n">
        <v>23</v>
      </c>
      <c r="C92" s="20" t="inlineStr">
        <is>
          <t>Couve-flor</t>
        </is>
      </c>
      <c r="D92" s="21" t="n">
        <v>0.111</v>
      </c>
      <c r="E92" s="22" t="inlineStr">
        <is>
          <t>Já no app</t>
        </is>
      </c>
      <c r="F92" s="23" t="inlineStr">
        <is>
          <t>Couve-flor, crua</t>
        </is>
      </c>
      <c r="G92" s="24" t="n">
        <v>22.56</v>
      </c>
      <c r="H92" s="25" t="n">
        <v>1.91</v>
      </c>
      <c r="I92" s="25" t="n">
        <v>4.52</v>
      </c>
      <c r="J92" s="25" t="n">
        <v>0.21</v>
      </c>
      <c r="K92" s="25" t="n">
        <v>2.35</v>
      </c>
      <c r="L92" s="24" t="n">
        <v>3.44</v>
      </c>
      <c r="M92" s="23" t="inlineStr">
        <is>
          <t>TACO (já no app)</t>
        </is>
      </c>
      <c r="N92" s="23" t="inlineStr"/>
    </row>
    <row r="93">
      <c r="A93" s="18" t="inlineStr">
        <is>
          <t>Hortaliças</t>
        </is>
      </c>
      <c r="B93" s="19" t="n">
        <v>24</v>
      </c>
      <c r="C93" s="20" t="inlineStr">
        <is>
          <t>Vagem</t>
        </is>
      </c>
      <c r="D93" s="21" t="n">
        <v>0.099</v>
      </c>
      <c r="E93" s="22" t="inlineStr">
        <is>
          <t>Já no app</t>
        </is>
      </c>
      <c r="F93" s="23" t="inlineStr">
        <is>
          <t>Vagem, crua</t>
        </is>
      </c>
      <c r="G93" s="24" t="n">
        <v>24.9</v>
      </c>
      <c r="H93" s="25" t="n">
        <v>1.79</v>
      </c>
      <c r="I93" s="25" t="n">
        <v>5.35</v>
      </c>
      <c r="J93" s="25" t="n">
        <v>0.17</v>
      </c>
      <c r="K93" s="25" t="n">
        <v>2.38</v>
      </c>
      <c r="L93" s="24" t="n">
        <v>0</v>
      </c>
      <c r="M93" s="23" t="inlineStr">
        <is>
          <t>TACO (já no app)</t>
        </is>
      </c>
      <c r="N93" s="23" t="inlineStr"/>
    </row>
    <row r="94">
      <c r="A94" s="18" t="inlineStr">
        <is>
          <t>Hortaliças</t>
        </is>
      </c>
      <c r="B94" s="19" t="n">
        <v>25</v>
      </c>
      <c r="C94" s="20" t="inlineStr">
        <is>
          <t>Azeitona em conserva</t>
        </is>
      </c>
      <c r="D94" s="21" t="n">
        <v>0.094</v>
      </c>
      <c r="E94" s="22" t="inlineStr">
        <is>
          <t>Já no app</t>
        </is>
      </c>
      <c r="F94" s="23" t="inlineStr">
        <is>
          <t>Azeitona, preta, conserva</t>
        </is>
      </c>
      <c r="G94" s="24" t="n">
        <v>194.15</v>
      </c>
      <c r="H94" s="25" t="n">
        <v>1.16</v>
      </c>
      <c r="I94" s="25" t="n">
        <v>5.54</v>
      </c>
      <c r="J94" s="25" t="n">
        <v>20.35</v>
      </c>
      <c r="K94" s="25" t="n">
        <v>4.56</v>
      </c>
      <c r="L94" s="24" t="n">
        <v>1566.66</v>
      </c>
      <c r="M94" s="23" t="inlineStr">
        <is>
          <t>TACO (já no app)</t>
        </is>
      </c>
      <c r="N94" s="23" t="inlineStr"/>
    </row>
    <row r="95">
      <c r="A95" s="18" t="inlineStr">
        <is>
          <t>Hortaliças</t>
        </is>
      </c>
      <c r="B95" s="19" t="n">
        <v>26</v>
      </c>
      <c r="C95" s="20" t="inlineStr">
        <is>
          <t>Cará</t>
        </is>
      </c>
      <c r="D95" s="21" t="n">
        <v>0.08799999999999999</v>
      </c>
      <c r="E95" s="22" t="inlineStr">
        <is>
          <t>Já no app</t>
        </is>
      </c>
      <c r="F95" s="23" t="inlineStr">
        <is>
          <t>Cará, cozido</t>
        </is>
      </c>
      <c r="G95" s="24" t="n">
        <v>77.58</v>
      </c>
      <c r="H95" s="25" t="n">
        <v>1.53</v>
      </c>
      <c r="I95" s="25" t="n">
        <v>18.85</v>
      </c>
      <c r="J95" s="25" t="n">
        <v>0.11</v>
      </c>
      <c r="K95" s="25" t="n">
        <v>2.63</v>
      </c>
      <c r="L95" s="24" t="n">
        <v>1.01</v>
      </c>
      <c r="M95" s="23" t="inlineStr">
        <is>
          <t>TACO (já no app)</t>
        </is>
      </c>
      <c r="N95" s="23" t="inlineStr"/>
    </row>
    <row r="96">
      <c r="A96" s="18" t="inlineStr">
        <is>
          <t>Hortaliças</t>
        </is>
      </c>
      <c r="B96" s="19" t="n">
        <v>27</v>
      </c>
      <c r="C96" s="20" t="inlineStr">
        <is>
          <t>Batata-aipo</t>
        </is>
      </c>
      <c r="D96" s="21" t="n">
        <v>0.067</v>
      </c>
      <c r="E96" s="22" t="inlineStr">
        <is>
          <t>Já no app</t>
        </is>
      </c>
      <c r="F96" s="23" t="inlineStr">
        <is>
          <t>Batata, baroa, cozida</t>
        </is>
      </c>
      <c r="G96" s="24" t="n">
        <v>80.12</v>
      </c>
      <c r="H96" s="25" t="n">
        <v>0.85</v>
      </c>
      <c r="I96" s="25" t="n">
        <v>18.95</v>
      </c>
      <c r="J96" s="25" t="n">
        <v>0.17</v>
      </c>
      <c r="K96" s="25" t="n">
        <v>1.76</v>
      </c>
      <c r="L96" s="24" t="n">
        <v>2.1</v>
      </c>
      <c r="M96" s="23" t="inlineStr">
        <is>
          <t>TACO (já no app)</t>
        </is>
      </c>
      <c r="N96" s="23" t="inlineStr"/>
    </row>
    <row r="97">
      <c r="A97" s="18" t="inlineStr">
        <is>
          <t>Hortaliças</t>
        </is>
      </c>
      <c r="B97" s="19" t="n">
        <v>28</v>
      </c>
      <c r="C97" s="20" t="inlineStr">
        <is>
          <t>Maxixe</t>
        </is>
      </c>
      <c r="D97" s="21" t="n">
        <v>0.053</v>
      </c>
      <c r="E97" s="22" t="inlineStr">
        <is>
          <t>Já no app</t>
        </is>
      </c>
      <c r="F97" s="23" t="inlineStr">
        <is>
          <t>Maxixe, cru</t>
        </is>
      </c>
      <c r="G97" s="24" t="n">
        <v>13.75</v>
      </c>
      <c r="H97" s="25" t="n">
        <v>1.39</v>
      </c>
      <c r="I97" s="25" t="n">
        <v>2.73</v>
      </c>
      <c r="J97" s="25" t="n">
        <v>0.07000000000000001</v>
      </c>
      <c r="K97" s="25" t="n">
        <v>2.19</v>
      </c>
      <c r="L97" s="24" t="n">
        <v>10.99</v>
      </c>
      <c r="M97" s="23" t="inlineStr">
        <is>
          <t>TACO (já no app)</t>
        </is>
      </c>
      <c r="N97" s="23" t="inlineStr"/>
    </row>
    <row r="98">
      <c r="A98" s="18" t="inlineStr">
        <is>
          <t>Hortaliças</t>
        </is>
      </c>
      <c r="B98" s="19" t="n">
        <v>29</v>
      </c>
      <c r="C98" s="20" t="inlineStr">
        <is>
          <t>Batata-baroa</t>
        </is>
      </c>
      <c r="D98" s="21" t="n">
        <v>0.049</v>
      </c>
      <c r="E98" s="22" t="inlineStr">
        <is>
          <t>Já no app</t>
        </is>
      </c>
      <c r="F98" s="23" t="inlineStr">
        <is>
          <t>Batata, baroa, cozida</t>
        </is>
      </c>
      <c r="G98" s="24" t="n">
        <v>80.12</v>
      </c>
      <c r="H98" s="25" t="n">
        <v>0.85</v>
      </c>
      <c r="I98" s="25" t="n">
        <v>18.95</v>
      </c>
      <c r="J98" s="25" t="n">
        <v>0.17</v>
      </c>
      <c r="K98" s="25" t="n">
        <v>1.76</v>
      </c>
      <c r="L98" s="24" t="n">
        <v>2.1</v>
      </c>
      <c r="M98" s="23" t="inlineStr">
        <is>
          <t>TACO (já no app)</t>
        </is>
      </c>
      <c r="N98" s="23" t="inlineStr"/>
    </row>
    <row r="99">
      <c r="A99" s="18" t="inlineStr">
        <is>
          <t>Hortaliças</t>
        </is>
      </c>
      <c r="B99" s="19" t="n">
        <v>30</v>
      </c>
      <c r="C99" s="20" t="inlineStr">
        <is>
          <t>Agrião</t>
        </is>
      </c>
      <c r="D99" s="21" t="n">
        <v>0.042</v>
      </c>
      <c r="E99" s="22" t="inlineStr">
        <is>
          <t>Já no app</t>
        </is>
      </c>
      <c r="F99" s="23" t="inlineStr">
        <is>
          <t>Agrião, cru</t>
        </is>
      </c>
      <c r="G99" s="24" t="n">
        <v>16.58</v>
      </c>
      <c r="H99" s="25" t="n">
        <v>2.69</v>
      </c>
      <c r="I99" s="25" t="n">
        <v>2.25</v>
      </c>
      <c r="J99" s="25" t="n">
        <v>0.24</v>
      </c>
      <c r="K99" s="25" t="n">
        <v>2.14</v>
      </c>
      <c r="L99" s="24" t="n">
        <v>7.46</v>
      </c>
      <c r="M99" s="23" t="inlineStr">
        <is>
          <t>TACO (já no app)</t>
        </is>
      </c>
      <c r="N99" s="23" t="inlineStr"/>
    </row>
    <row r="100">
      <c r="A100" s="18" t="inlineStr">
        <is>
          <t>Hortaliças</t>
        </is>
      </c>
      <c r="B100" s="19" t="n">
        <v>31</v>
      </c>
      <c r="C100" s="20" t="inlineStr">
        <is>
          <t>Acelga</t>
        </is>
      </c>
      <c r="D100" s="21" t="n">
        <v>0.038</v>
      </c>
      <c r="E100" s="22" t="inlineStr">
        <is>
          <t>Já no app</t>
        </is>
      </c>
      <c r="F100" s="23" t="inlineStr">
        <is>
          <t>Acelga, crua</t>
        </is>
      </c>
      <c r="G100" s="24" t="n">
        <v>20.94</v>
      </c>
      <c r="H100" s="25" t="n">
        <v>1.44</v>
      </c>
      <c r="I100" s="25" t="n">
        <v>4.63</v>
      </c>
      <c r="J100" s="25" t="n">
        <v>0.11</v>
      </c>
      <c r="K100" s="25" t="n">
        <v>1.12</v>
      </c>
      <c r="L100" s="24" t="n">
        <v>1.18</v>
      </c>
      <c r="M100" s="23" t="inlineStr">
        <is>
          <t>TACO (já no app)</t>
        </is>
      </c>
      <c r="N100" s="23" t="inlineStr"/>
    </row>
    <row r="101">
      <c r="A101" s="18" t="inlineStr">
        <is>
          <t>Panificados</t>
        </is>
      </c>
      <c r="B101" s="19" t="n">
        <v>1</v>
      </c>
      <c r="C101" s="20" t="inlineStr">
        <is>
          <t>Pão francês</t>
        </is>
      </c>
      <c r="D101" s="21" t="n">
        <v>9.491</v>
      </c>
      <c r="E101" s="22" t="inlineStr">
        <is>
          <t>Já no app</t>
        </is>
      </c>
      <c r="F101" s="23" t="inlineStr">
        <is>
          <t>Pão, trigo, francês</t>
        </is>
      </c>
      <c r="G101" s="24" t="n">
        <v>299.81</v>
      </c>
      <c r="H101" s="25" t="n">
        <v>7.95</v>
      </c>
      <c r="I101" s="25" t="n">
        <v>58.65</v>
      </c>
      <c r="J101" s="25" t="n">
        <v>3.1</v>
      </c>
      <c r="K101" s="25" t="n">
        <v>2.31</v>
      </c>
      <c r="L101" s="24" t="n">
        <v>647.67</v>
      </c>
      <c r="M101" s="23" t="inlineStr">
        <is>
          <t>TACO (já no app)</t>
        </is>
      </c>
      <c r="N101" s="23" t="inlineStr"/>
    </row>
    <row r="102">
      <c r="A102" s="18" t="inlineStr">
        <is>
          <t>Panificados</t>
        </is>
      </c>
      <c r="B102" s="19" t="n">
        <v>2</v>
      </c>
      <c r="C102" s="20" t="inlineStr">
        <is>
          <t>Biscoito doce</t>
        </is>
      </c>
      <c r="D102" s="21" t="n">
        <v>1.941</v>
      </c>
      <c r="E102" s="22" t="inlineStr">
        <is>
          <t>Já no app</t>
        </is>
      </c>
      <c r="F102" s="23" t="inlineStr">
        <is>
          <t>Biscoito, doce, maisena</t>
        </is>
      </c>
      <c r="G102" s="24" t="n">
        <v>442.82</v>
      </c>
      <c r="H102" s="25" t="n">
        <v>8.07</v>
      </c>
      <c r="I102" s="25" t="n">
        <v>75.23</v>
      </c>
      <c r="J102" s="25" t="n">
        <v>11.97</v>
      </c>
      <c r="K102" s="25" t="n">
        <v>2.1</v>
      </c>
      <c r="L102" s="24" t="n">
        <v>352.03</v>
      </c>
      <c r="M102" s="23" t="inlineStr">
        <is>
          <t>TACO (já no app)</t>
        </is>
      </c>
      <c r="N102" s="23" t="inlineStr"/>
    </row>
    <row r="103">
      <c r="A103" s="18" t="inlineStr">
        <is>
          <t>Panificados</t>
        </is>
      </c>
      <c r="B103" s="19" t="n">
        <v>3</v>
      </c>
      <c r="C103" s="20" t="inlineStr">
        <is>
          <t>Biscoito salgado</t>
        </is>
      </c>
      <c r="D103" s="21" t="n">
        <v>1.797</v>
      </c>
      <c r="E103" s="22" t="inlineStr">
        <is>
          <t>Já no app</t>
        </is>
      </c>
      <c r="F103" s="23" t="inlineStr">
        <is>
          <t>Biscoito, doce, maisena</t>
        </is>
      </c>
      <c r="G103" s="24" t="n">
        <v>442.82</v>
      </c>
      <c r="H103" s="25" t="n">
        <v>8.07</v>
      </c>
      <c r="I103" s="25" t="n">
        <v>75.23</v>
      </c>
      <c r="J103" s="25" t="n">
        <v>11.97</v>
      </c>
      <c r="K103" s="25" t="n">
        <v>2.1</v>
      </c>
      <c r="L103" s="24" t="n">
        <v>352.03</v>
      </c>
      <c r="M103" s="23" t="inlineStr">
        <is>
          <t>TACO (já no app)</t>
        </is>
      </c>
      <c r="N103" s="23" t="inlineStr"/>
    </row>
    <row r="104">
      <c r="A104" s="18" t="inlineStr">
        <is>
          <t>Panificados</t>
        </is>
      </c>
      <c r="B104" s="19" t="n">
        <v>4</v>
      </c>
      <c r="C104" s="20" t="inlineStr">
        <is>
          <t>Pão doce</t>
        </is>
      </c>
      <c r="D104" s="21" t="n">
        <v>0.746</v>
      </c>
      <c r="E104" s="22" t="inlineStr">
        <is>
          <t>Já no app</t>
        </is>
      </c>
      <c r="F104" s="23" t="inlineStr">
        <is>
          <t>Pão, aveia, forma</t>
        </is>
      </c>
      <c r="G104" s="24" t="n">
        <v>343.09</v>
      </c>
      <c r="H104" s="25" t="n">
        <v>12.35</v>
      </c>
      <c r="I104" s="25" t="n">
        <v>59.57</v>
      </c>
      <c r="J104" s="25" t="n">
        <v>5.69</v>
      </c>
      <c r="K104" s="25" t="n">
        <v>5.98</v>
      </c>
      <c r="L104" s="24" t="n">
        <v>605.76</v>
      </c>
      <c r="M104" s="23" t="inlineStr">
        <is>
          <t>TACO (já no app)</t>
        </is>
      </c>
      <c r="N104" s="23" t="inlineStr"/>
    </row>
    <row r="105">
      <c r="A105" s="18" t="inlineStr">
        <is>
          <t>Panificados</t>
        </is>
      </c>
      <c r="B105" s="19" t="n">
        <v>5</v>
      </c>
      <c r="C105" s="20" t="inlineStr">
        <is>
          <t>Pão de forma industrializado</t>
        </is>
      </c>
      <c r="D105" s="21" t="n">
        <v>0.702</v>
      </c>
      <c r="E105" s="22" t="inlineStr">
        <is>
          <t>Já no app</t>
        </is>
      </c>
      <c r="F105" s="23" t="inlineStr">
        <is>
          <t>Pão, aveia, forma</t>
        </is>
      </c>
      <c r="G105" s="24" t="n">
        <v>343.09</v>
      </c>
      <c r="H105" s="25" t="n">
        <v>12.35</v>
      </c>
      <c r="I105" s="25" t="n">
        <v>59.57</v>
      </c>
      <c r="J105" s="25" t="n">
        <v>5.69</v>
      </c>
      <c r="K105" s="25" t="n">
        <v>5.98</v>
      </c>
      <c r="L105" s="24" t="n">
        <v>605.76</v>
      </c>
      <c r="M105" s="23" t="inlineStr">
        <is>
          <t>TACO (já no app)</t>
        </is>
      </c>
      <c r="N105" s="23" t="inlineStr"/>
    </row>
    <row r="106">
      <c r="A106" s="18" t="inlineStr">
        <is>
          <t>Panificados</t>
        </is>
      </c>
      <c r="B106" s="19" t="n">
        <v>6</v>
      </c>
      <c r="C106" s="20" t="inlineStr">
        <is>
          <t>Pão integral</t>
        </is>
      </c>
      <c r="D106" s="21" t="n">
        <v>0.361</v>
      </c>
      <c r="E106" s="22" t="inlineStr">
        <is>
          <t>Já no app</t>
        </is>
      </c>
      <c r="F106" s="23" t="inlineStr">
        <is>
          <t>Pão, trigo, forma, integral</t>
        </is>
      </c>
      <c r="G106" s="24" t="n">
        <v>253.19</v>
      </c>
      <c r="H106" s="25" t="n">
        <v>9.43</v>
      </c>
      <c r="I106" s="25" t="n">
        <v>49.94</v>
      </c>
      <c r="J106" s="25" t="n">
        <v>3.65</v>
      </c>
      <c r="K106" s="25" t="n">
        <v>6.88</v>
      </c>
      <c r="L106" s="24" t="n">
        <v>506.1</v>
      </c>
      <c r="M106" s="23" t="inlineStr">
        <is>
          <t>TACO (já no app)</t>
        </is>
      </c>
      <c r="N106" s="23" t="inlineStr"/>
    </row>
    <row r="107">
      <c r="A107" s="18" t="inlineStr">
        <is>
          <t>Panificados</t>
        </is>
      </c>
      <c r="B107" s="19" t="n">
        <v>7</v>
      </c>
      <c r="C107" s="20" t="inlineStr">
        <is>
          <t>Pão de queijo</t>
        </is>
      </c>
      <c r="D107" s="21" t="n">
        <v>0.241</v>
      </c>
      <c r="E107" s="22" t="inlineStr">
        <is>
          <t>Já no app</t>
        </is>
      </c>
      <c r="F107" s="23" t="inlineStr">
        <is>
          <t>Pão, de queijo, assado</t>
        </is>
      </c>
      <c r="G107" s="24" t="n">
        <v>363.08</v>
      </c>
      <c r="H107" s="25" t="n">
        <v>5.12</v>
      </c>
      <c r="I107" s="25" t="n">
        <v>34.24</v>
      </c>
      <c r="J107" s="25" t="n">
        <v>24.57</v>
      </c>
      <c r="K107" s="25" t="n">
        <v>0.5600000000000001</v>
      </c>
      <c r="L107" s="24" t="n">
        <v>773.49</v>
      </c>
      <c r="M107" s="23" t="inlineStr">
        <is>
          <t>TACO (já no app)</t>
        </is>
      </c>
      <c r="N107" s="23" t="inlineStr"/>
    </row>
    <row r="108">
      <c r="A108" s="18" t="inlineStr">
        <is>
          <t>Panificados</t>
        </is>
      </c>
      <c r="B108" s="19" t="n">
        <v>8</v>
      </c>
      <c r="C108" s="20" t="inlineStr">
        <is>
          <t>Pão caseiro</t>
        </is>
      </c>
      <c r="D108" s="21" t="n">
        <v>0.226</v>
      </c>
      <c r="E108" s="22" t="inlineStr">
        <is>
          <t>Já no app</t>
        </is>
      </c>
      <c r="F108" s="23" t="inlineStr">
        <is>
          <t>Pão, aveia, forma</t>
        </is>
      </c>
      <c r="G108" s="24" t="n">
        <v>343.09</v>
      </c>
      <c r="H108" s="25" t="n">
        <v>12.35</v>
      </c>
      <c r="I108" s="25" t="n">
        <v>59.57</v>
      </c>
      <c r="J108" s="25" t="n">
        <v>5.69</v>
      </c>
      <c r="K108" s="25" t="n">
        <v>5.98</v>
      </c>
      <c r="L108" s="24" t="n">
        <v>605.76</v>
      </c>
      <c r="M108" s="23" t="inlineStr">
        <is>
          <t>TACO (já no app)</t>
        </is>
      </c>
      <c r="N108" s="23" t="inlineStr"/>
    </row>
    <row r="109">
      <c r="A109" s="12" t="inlineStr">
        <is>
          <t>Panificados</t>
        </is>
      </c>
      <c r="B109" s="13" t="n">
        <v>9</v>
      </c>
      <c r="C109" s="14" t="inlineStr">
        <is>
          <t>Rosca doce</t>
        </is>
      </c>
      <c r="D109" s="15" t="n">
        <v>0.195</v>
      </c>
      <c r="E109" s="12" t="inlineStr">
        <is>
          <t>Falta subir</t>
        </is>
      </c>
      <c r="F109" s="14" t="inlineStr"/>
      <c r="G109" s="16" t="n">
        <v>372</v>
      </c>
      <c r="H109" s="17" t="n">
        <v>6.2</v>
      </c>
      <c r="I109" s="17" t="n">
        <v>50.9</v>
      </c>
      <c r="J109" s="17" t="n">
        <v>16.4</v>
      </c>
      <c r="K109" s="17" t="n">
        <v>2.4</v>
      </c>
      <c r="L109" s="16" t="n">
        <v>304</v>
      </c>
      <c r="M109" s="14" t="inlineStr">
        <is>
          <t>USDA (sweet rolls, cinnamon)</t>
        </is>
      </c>
      <c r="N109" s="14" t="inlineStr"/>
    </row>
    <row r="110">
      <c r="A110" s="18" t="inlineStr">
        <is>
          <t>Panificados</t>
        </is>
      </c>
      <c r="B110" s="19" t="n">
        <v>10</v>
      </c>
      <c r="C110" s="20" t="inlineStr">
        <is>
          <t>Torrada</t>
        </is>
      </c>
      <c r="D110" s="21" t="n">
        <v>0.1</v>
      </c>
      <c r="E110" s="22" t="inlineStr">
        <is>
          <t>Já no app</t>
        </is>
      </c>
      <c r="F110" s="23" t="inlineStr">
        <is>
          <t>Torrada, pão francês</t>
        </is>
      </c>
      <c r="G110" s="24" t="n">
        <v>377.42</v>
      </c>
      <c r="H110" s="25" t="n">
        <v>10.52</v>
      </c>
      <c r="I110" s="25" t="n">
        <v>74.56</v>
      </c>
      <c r="J110" s="25" t="n">
        <v>3.3</v>
      </c>
      <c r="K110" s="25" t="n">
        <v>3.4</v>
      </c>
      <c r="L110" s="24" t="n">
        <v>829.49</v>
      </c>
      <c r="M110" s="23" t="inlineStr">
        <is>
          <t>TACO (já no app)</t>
        </is>
      </c>
      <c r="N110" s="23" t="inlineStr"/>
    </row>
    <row r="111">
      <c r="A111" s="18" t="inlineStr">
        <is>
          <t>Panificados</t>
        </is>
      </c>
      <c r="B111" s="19" t="n">
        <v>11</v>
      </c>
      <c r="C111" s="20" t="inlineStr">
        <is>
          <t>Pão de forma de padaria</t>
        </is>
      </c>
      <c r="D111" s="21" t="n">
        <v>0.099</v>
      </c>
      <c r="E111" s="22" t="inlineStr">
        <is>
          <t>Já no app</t>
        </is>
      </c>
      <c r="F111" s="23" t="inlineStr">
        <is>
          <t>Pão, aveia, forma</t>
        </is>
      </c>
      <c r="G111" s="24" t="n">
        <v>343.09</v>
      </c>
      <c r="H111" s="25" t="n">
        <v>12.35</v>
      </c>
      <c r="I111" s="25" t="n">
        <v>59.57</v>
      </c>
      <c r="J111" s="25" t="n">
        <v>5.69</v>
      </c>
      <c r="K111" s="25" t="n">
        <v>5.98</v>
      </c>
      <c r="L111" s="24" t="n">
        <v>605.76</v>
      </c>
      <c r="M111" s="23" t="inlineStr">
        <is>
          <t>TACO (já no app)</t>
        </is>
      </c>
      <c r="N111" s="23" t="inlineStr"/>
    </row>
    <row r="112">
      <c r="A112" s="18" t="inlineStr">
        <is>
          <t>Panificados</t>
        </is>
      </c>
      <c r="B112" s="19" t="n">
        <v>12</v>
      </c>
      <c r="C112" s="20" t="inlineStr">
        <is>
          <t>Pão de milho</t>
        </is>
      </c>
      <c r="D112" s="21" t="n">
        <v>0.06</v>
      </c>
      <c r="E112" s="22" t="inlineStr">
        <is>
          <t>Já no app</t>
        </is>
      </c>
      <c r="F112" s="23" t="inlineStr">
        <is>
          <t>Pão, milho, forma</t>
        </is>
      </c>
      <c r="G112" s="24" t="n">
        <v>292.01</v>
      </c>
      <c r="H112" s="25" t="n">
        <v>8.300000000000001</v>
      </c>
      <c r="I112" s="25" t="n">
        <v>56.4</v>
      </c>
      <c r="J112" s="25" t="n">
        <v>3.11</v>
      </c>
      <c r="K112" s="25" t="n">
        <v>4.3</v>
      </c>
      <c r="L112" s="24" t="n">
        <v>506.64</v>
      </c>
      <c r="M112" s="23" t="inlineStr">
        <is>
          <t>TACO (já no app)</t>
        </is>
      </c>
      <c r="N112" s="23" t="inlineStr"/>
    </row>
    <row r="113">
      <c r="A113" s="18" t="inlineStr">
        <is>
          <t>Panificados</t>
        </is>
      </c>
      <c r="B113" s="19" t="n">
        <v>13</v>
      </c>
      <c r="C113" s="20" t="inlineStr">
        <is>
          <t>Rosca salgada</t>
        </is>
      </c>
      <c r="D113" s="21" t="n">
        <v>0.011</v>
      </c>
      <c r="E113" s="22" t="inlineStr">
        <is>
          <t>Já no app</t>
        </is>
      </c>
      <c r="F113" s="23" t="inlineStr">
        <is>
          <t>Farinha, de rosca</t>
        </is>
      </c>
      <c r="G113" s="24" t="n">
        <v>370.58</v>
      </c>
      <c r="H113" s="25" t="n">
        <v>11.38</v>
      </c>
      <c r="I113" s="25" t="n">
        <v>75.79000000000001</v>
      </c>
      <c r="J113" s="25" t="n">
        <v>1.46</v>
      </c>
      <c r="K113" s="25" t="n">
        <v>4.82</v>
      </c>
      <c r="L113" s="24" t="n">
        <v>332.5</v>
      </c>
      <c r="M113" s="23" t="inlineStr">
        <is>
          <t>TACO (já no app)</t>
        </is>
      </c>
      <c r="N113" s="23" t="inlineStr"/>
    </row>
    <row r="114">
      <c r="A114" s="18" t="inlineStr">
        <is>
          <t>Aves e ovos</t>
        </is>
      </c>
      <c r="B114" s="19" t="n">
        <v>1</v>
      </c>
      <c r="C114" s="20" t="inlineStr">
        <is>
          <t>Frango abatido (inteiro)</t>
        </is>
      </c>
      <c r="D114" s="21" t="n">
        <v>5.974</v>
      </c>
      <c r="E114" s="22" t="inlineStr">
        <is>
          <t>Já no app</t>
        </is>
      </c>
      <c r="F114" s="23" t="inlineStr">
        <is>
          <t>Frango, asa, com pele, crua</t>
        </is>
      </c>
      <c r="G114" s="24" t="n">
        <v>213.19</v>
      </c>
      <c r="H114" s="25" t="n">
        <v>18.1</v>
      </c>
      <c r="I114" s="25" t="n">
        <v>0</v>
      </c>
      <c r="J114" s="25" t="n">
        <v>15.07</v>
      </c>
      <c r="K114" s="25" t="n"/>
      <c r="L114" s="24" t="n">
        <v>96.3</v>
      </c>
      <c r="M114" s="23" t="inlineStr">
        <is>
          <t>TACO (já no app)</t>
        </is>
      </c>
      <c r="N114" s="23" t="inlineStr"/>
    </row>
    <row r="115">
      <c r="A115" s="18" t="inlineStr">
        <is>
          <t>Aves e ovos</t>
        </is>
      </c>
      <c r="B115" s="19" t="n">
        <v>2</v>
      </c>
      <c r="C115" s="20" t="inlineStr">
        <is>
          <t>Ovo de galinha</t>
        </is>
      </c>
      <c r="D115" s="21" t="n">
        <v>3.309</v>
      </c>
      <c r="E115" s="22" t="inlineStr">
        <is>
          <t>Já no app</t>
        </is>
      </c>
      <c r="F115" s="23" t="inlineStr">
        <is>
          <t>Ovo, de codorna, inteiro, cru</t>
        </is>
      </c>
      <c r="G115" s="24" t="n">
        <v>176.89</v>
      </c>
      <c r="H115" s="25" t="n">
        <v>13.69</v>
      </c>
      <c r="I115" s="25" t="n">
        <v>0.77</v>
      </c>
      <c r="J115" s="25" t="n">
        <v>12.68</v>
      </c>
      <c r="K115" s="25" t="n"/>
      <c r="L115" s="24" t="n">
        <v>128.99</v>
      </c>
      <c r="M115" s="23" t="inlineStr">
        <is>
          <t>TACO (já no app)</t>
        </is>
      </c>
      <c r="N115" s="23" t="inlineStr"/>
    </row>
    <row r="116">
      <c r="A116" s="18" t="inlineStr">
        <is>
          <t>Aves e ovos</t>
        </is>
      </c>
      <c r="B116" s="19" t="n">
        <v>3</v>
      </c>
      <c r="C116" s="20" t="inlineStr">
        <is>
          <t>Peito de frango</t>
        </is>
      </c>
      <c r="D116" s="21" t="n">
        <v>2.46</v>
      </c>
      <c r="E116" s="22" t="inlineStr">
        <is>
          <t>Já no app</t>
        </is>
      </c>
      <c r="F116" s="23" t="inlineStr">
        <is>
          <t>Frango, peito, com pele, assado</t>
        </is>
      </c>
      <c r="G116" s="24" t="n">
        <v>211.68</v>
      </c>
      <c r="H116" s="25" t="n">
        <v>33.42</v>
      </c>
      <c r="I116" s="25" t="n">
        <v>0</v>
      </c>
      <c r="J116" s="25" t="n">
        <v>7.65</v>
      </c>
      <c r="K116" s="25" t="n"/>
      <c r="L116" s="24" t="n">
        <v>55.7</v>
      </c>
      <c r="M116" s="23" t="inlineStr">
        <is>
          <t>TACO (já no app)</t>
        </is>
      </c>
      <c r="N116" s="23" t="inlineStr"/>
    </row>
    <row r="117">
      <c r="A117" s="18" t="inlineStr">
        <is>
          <t>Aves e ovos</t>
        </is>
      </c>
      <c r="B117" s="19" t="n">
        <v>4</v>
      </c>
      <c r="C117" s="20" t="inlineStr">
        <is>
          <t>Coxa de frango</t>
        </is>
      </c>
      <c r="D117" s="21" t="n">
        <v>2.074</v>
      </c>
      <c r="E117" s="22" t="inlineStr">
        <is>
          <t>Já no app</t>
        </is>
      </c>
      <c r="F117" s="23" t="inlineStr">
        <is>
          <t>Frango, coxa, com pele, assada</t>
        </is>
      </c>
      <c r="G117" s="24" t="n">
        <v>215.12</v>
      </c>
      <c r="H117" s="25" t="n">
        <v>28.49</v>
      </c>
      <c r="I117" s="25" t="n">
        <v>0.06</v>
      </c>
      <c r="J117" s="25" t="n">
        <v>10.36</v>
      </c>
      <c r="K117" s="25" t="n"/>
      <c r="L117" s="24" t="n">
        <v>94.84</v>
      </c>
      <c r="M117" s="23" t="inlineStr">
        <is>
          <t>TACO (já no app)</t>
        </is>
      </c>
      <c r="N117" s="23" t="inlineStr"/>
    </row>
    <row r="118">
      <c r="A118" s="18" t="inlineStr">
        <is>
          <t>Aves e ovos</t>
        </is>
      </c>
      <c r="B118" s="19" t="n">
        <v>5</v>
      </c>
      <c r="C118" s="20" t="inlineStr">
        <is>
          <t>Asa de frango</t>
        </is>
      </c>
      <c r="D118" s="21" t="n">
        <v>0.61</v>
      </c>
      <c r="E118" s="22" t="inlineStr">
        <is>
          <t>Já no app</t>
        </is>
      </c>
      <c r="F118" s="23" t="inlineStr">
        <is>
          <t>Frango, asa, com pele, crua</t>
        </is>
      </c>
      <c r="G118" s="24" t="n">
        <v>213.19</v>
      </c>
      <c r="H118" s="25" t="n">
        <v>18.1</v>
      </c>
      <c r="I118" s="25" t="n">
        <v>0</v>
      </c>
      <c r="J118" s="25" t="n">
        <v>15.07</v>
      </c>
      <c r="K118" s="25" t="n"/>
      <c r="L118" s="24" t="n">
        <v>96.3</v>
      </c>
      <c r="M118" s="23" t="inlineStr">
        <is>
          <t>TACO (já no app)</t>
        </is>
      </c>
      <c r="N118" s="23" t="inlineStr"/>
    </row>
    <row r="119">
      <c r="A119" s="12" t="inlineStr">
        <is>
          <t>Aves e ovos</t>
        </is>
      </c>
      <c r="B119" s="13" t="n">
        <v>6</v>
      </c>
      <c r="C119" s="14" t="inlineStr">
        <is>
          <t>Miúdos de frango</t>
        </is>
      </c>
      <c r="D119" s="15" t="n">
        <v>0.166</v>
      </c>
      <c r="E119" s="12" t="inlineStr">
        <is>
          <t>Falta subir</t>
        </is>
      </c>
      <c r="F119" s="14" t="inlineStr"/>
      <c r="G119" s="16" t="n">
        <v>124</v>
      </c>
      <c r="H119" s="17" t="n">
        <v>17.9</v>
      </c>
      <c r="I119" s="17" t="n">
        <v>1.8</v>
      </c>
      <c r="J119" s="17" t="n">
        <v>4.47</v>
      </c>
      <c r="K119" s="17" t="n">
        <v>0</v>
      </c>
      <c r="L119" s="16" t="n">
        <v>77</v>
      </c>
      <c r="M119" s="14" t="inlineStr">
        <is>
          <t>USDA (chicken giblets, raw)</t>
        </is>
      </c>
      <c r="N119" s="14" t="inlineStr"/>
    </row>
    <row r="120">
      <c r="A120" s="18" t="inlineStr">
        <is>
          <t>Aves e ovos</t>
        </is>
      </c>
      <c r="B120" s="19" t="n">
        <v>7</v>
      </c>
      <c r="C120" s="20" t="inlineStr">
        <is>
          <t>Frango vivo</t>
        </is>
      </c>
      <c r="D120" s="21" t="n">
        <v>0.107</v>
      </c>
      <c r="E120" s="22" t="inlineStr">
        <is>
          <t>Já no app</t>
        </is>
      </c>
      <c r="F120" s="23" t="inlineStr">
        <is>
          <t>Frango, asa, com pele, crua</t>
        </is>
      </c>
      <c r="G120" s="24" t="n">
        <v>213.19</v>
      </c>
      <c r="H120" s="25" t="n">
        <v>18.1</v>
      </c>
      <c r="I120" s="25" t="n">
        <v>0</v>
      </c>
      <c r="J120" s="25" t="n">
        <v>15.07</v>
      </c>
      <c r="K120" s="25" t="n"/>
      <c r="L120" s="24" t="n">
        <v>96.3</v>
      </c>
      <c r="M120" s="23" t="inlineStr">
        <is>
          <t>TACO (já no app)</t>
        </is>
      </c>
      <c r="N120" s="23" t="inlineStr"/>
    </row>
    <row r="121">
      <c r="A121" s="18" t="inlineStr">
        <is>
          <t>Aves e ovos</t>
        </is>
      </c>
      <c r="B121" s="19" t="n">
        <v>8</v>
      </c>
      <c r="C121" s="20" t="inlineStr">
        <is>
          <t>Peru em cortes</t>
        </is>
      </c>
      <c r="D121" s="21" t="n">
        <v>0.099</v>
      </c>
      <c r="E121" s="22" t="inlineStr">
        <is>
          <t>Já no app</t>
        </is>
      </c>
      <c r="F121" s="23" t="inlineStr">
        <is>
          <t>Peru, congelado, assado</t>
        </is>
      </c>
      <c r="G121" s="24" t="n">
        <v>163.07</v>
      </c>
      <c r="H121" s="25" t="n">
        <v>26.2</v>
      </c>
      <c r="I121" s="25" t="n">
        <v>0</v>
      </c>
      <c r="J121" s="25" t="n">
        <v>5.68</v>
      </c>
      <c r="K121" s="25" t="n"/>
      <c r="L121" s="24" t="n">
        <v>627.88</v>
      </c>
      <c r="M121" s="23" t="inlineStr">
        <is>
          <t>TACO (já no app)</t>
        </is>
      </c>
      <c r="N121" s="23" t="inlineStr"/>
    </row>
    <row r="122">
      <c r="A122" s="18" t="inlineStr">
        <is>
          <t>Aves e ovos</t>
        </is>
      </c>
      <c r="B122" s="19" t="n">
        <v>9</v>
      </c>
      <c r="C122" s="20" t="inlineStr">
        <is>
          <t>Peru abatido</t>
        </is>
      </c>
      <c r="D122" s="21" t="n">
        <v>0.057</v>
      </c>
      <c r="E122" s="22" t="inlineStr">
        <is>
          <t>Já no app</t>
        </is>
      </c>
      <c r="F122" s="23" t="inlineStr">
        <is>
          <t>Peru, congelado, assado</t>
        </is>
      </c>
      <c r="G122" s="24" t="n">
        <v>163.07</v>
      </c>
      <c r="H122" s="25" t="n">
        <v>26.2</v>
      </c>
      <c r="I122" s="25" t="n">
        <v>0</v>
      </c>
      <c r="J122" s="25" t="n">
        <v>5.68</v>
      </c>
      <c r="K122" s="25" t="n"/>
      <c r="L122" s="24" t="n">
        <v>627.88</v>
      </c>
      <c r="M122" s="23" t="inlineStr">
        <is>
          <t>TACO (já no app)</t>
        </is>
      </c>
      <c r="N122" s="23" t="inlineStr"/>
    </row>
    <row r="123">
      <c r="A123" s="18" t="inlineStr">
        <is>
          <t>Aves e ovos</t>
        </is>
      </c>
      <c r="B123" s="19" t="n">
        <v>10</v>
      </c>
      <c r="C123" s="20" t="inlineStr">
        <is>
          <t>Dorso de frango</t>
        </is>
      </c>
      <c r="D123" s="21" t="n">
        <v>0.02</v>
      </c>
      <c r="E123" s="22" t="inlineStr">
        <is>
          <t>Já no app</t>
        </is>
      </c>
      <c r="F123" s="23" t="inlineStr">
        <is>
          <t>Frango, inteiro, com pele, cru</t>
        </is>
      </c>
      <c r="G123" s="24" t="n"/>
      <c r="H123" s="25" t="n"/>
      <c r="I123" s="25" t="n"/>
      <c r="J123" s="25" t="n"/>
      <c r="K123" s="25" t="n"/>
      <c r="L123" s="24" t="n"/>
      <c r="M123" s="23" t="inlineStr">
        <is>
          <t>já no app (equivalente)</t>
        </is>
      </c>
      <c r="N123" s="23" t="inlineStr">
        <is>
          <t>Frango, inteiro, com pele, cru</t>
        </is>
      </c>
    </row>
    <row r="124">
      <c r="A124" s="12" t="inlineStr">
        <is>
          <t>Aves e ovos</t>
        </is>
      </c>
      <c r="B124" s="13" t="n">
        <v>11</v>
      </c>
      <c r="C124" s="14" t="inlineStr">
        <is>
          <t>Pato inteiro ou em cortes</t>
        </is>
      </c>
      <c r="D124" s="15" t="n">
        <v>0.019</v>
      </c>
      <c r="E124" s="12" t="inlineStr">
        <is>
          <t>Falta subir</t>
        </is>
      </c>
      <c r="F124" s="14" t="inlineStr"/>
      <c r="G124" s="16" t="n">
        <v>130</v>
      </c>
      <c r="H124" s="17" t="n">
        <v>18.3</v>
      </c>
      <c r="I124" s="17" t="n">
        <v>0.89</v>
      </c>
      <c r="J124" s="17" t="n">
        <v>5.95</v>
      </c>
      <c r="K124" s="17" t="n">
        <v>0</v>
      </c>
      <c r="L124" s="16" t="n">
        <v>74</v>
      </c>
      <c r="M124" s="14" t="inlineStr">
        <is>
          <t>TBCA (pato s/ pele, cru)</t>
        </is>
      </c>
      <c r="N124" s="14" t="inlineStr"/>
    </row>
    <row r="125">
      <c r="A125" s="18" t="inlineStr">
        <is>
          <t>Carnes</t>
        </is>
      </c>
      <c r="B125" s="19" t="n">
        <v>1</v>
      </c>
      <c r="C125" s="20" t="inlineStr">
        <is>
          <t>Linguiça</t>
        </is>
      </c>
      <c r="D125" s="21" t="n">
        <v>2.155</v>
      </c>
      <c r="E125" s="22" t="inlineStr">
        <is>
          <t>Já no app</t>
        </is>
      </c>
      <c r="F125" s="23" t="inlineStr">
        <is>
          <t>Lingüiça, frango, crua</t>
        </is>
      </c>
      <c r="G125" s="24" t="n">
        <v>218.11</v>
      </c>
      <c r="H125" s="25" t="n">
        <v>14.24</v>
      </c>
      <c r="I125" s="25" t="n">
        <v>0</v>
      </c>
      <c r="J125" s="25" t="n">
        <v>17.44</v>
      </c>
      <c r="K125" s="25" t="n"/>
      <c r="L125" s="24" t="n">
        <v>1125.81</v>
      </c>
      <c r="M125" s="23" t="inlineStr">
        <is>
          <t>TACO (já no app)</t>
        </is>
      </c>
      <c r="N125" s="23" t="inlineStr"/>
    </row>
    <row r="126">
      <c r="A126" s="18" t="inlineStr">
        <is>
          <t>Carnes</t>
        </is>
      </c>
      <c r="B126" s="19" t="n">
        <v>2</v>
      </c>
      <c r="C126" s="20" t="inlineStr">
        <is>
          <t>Costela</t>
        </is>
      </c>
      <c r="D126" s="21" t="n">
        <v>1.15</v>
      </c>
      <c r="E126" s="22" t="inlineStr">
        <is>
          <t>Já no app</t>
        </is>
      </c>
      <c r="F126" s="23" t="inlineStr">
        <is>
          <t>Carne, bovina, contra-filé de costela, cru</t>
        </is>
      </c>
      <c r="G126" s="24" t="n">
        <v>202.44</v>
      </c>
      <c r="H126" s="25" t="n">
        <v>19.8</v>
      </c>
      <c r="I126" s="25" t="n">
        <v>0</v>
      </c>
      <c r="J126" s="25" t="n">
        <v>13.07</v>
      </c>
      <c r="K126" s="25" t="n"/>
      <c r="L126" s="24" t="n">
        <v>38.52</v>
      </c>
      <c r="M126" s="23" t="inlineStr">
        <is>
          <t>TACO (já no app)</t>
        </is>
      </c>
      <c r="N126" s="23" t="inlineStr"/>
    </row>
    <row r="127">
      <c r="A127" s="18" t="inlineStr">
        <is>
          <t>Carnes</t>
        </is>
      </c>
      <c r="B127" s="19" t="n">
        <v>3</v>
      </c>
      <c r="C127" s="20" t="inlineStr">
        <is>
          <t>Contrafilé</t>
        </is>
      </c>
      <c r="D127" s="21" t="n">
        <v>0.886</v>
      </c>
      <c r="E127" s="22" t="inlineStr">
        <is>
          <t>Já no app</t>
        </is>
      </c>
      <c r="F127" s="23" t="inlineStr">
        <is>
          <t>Carne, bovina, capa de contra-filé, com gordura, crua</t>
        </is>
      </c>
      <c r="G127" s="24" t="n">
        <v>216.91</v>
      </c>
      <c r="H127" s="25" t="n">
        <v>19.2</v>
      </c>
      <c r="I127" s="25" t="n">
        <v>0</v>
      </c>
      <c r="J127" s="25" t="n">
        <v>14.96</v>
      </c>
      <c r="K127" s="25" t="n"/>
      <c r="L127" s="24" t="n">
        <v>57.54</v>
      </c>
      <c r="M127" s="23" t="inlineStr">
        <is>
          <t>TACO (já no app)</t>
        </is>
      </c>
      <c r="N127" s="23" t="inlineStr"/>
    </row>
    <row r="128">
      <c r="A128" s="18" t="inlineStr">
        <is>
          <t>Carnes</t>
        </is>
      </c>
      <c r="B128" s="19" t="n">
        <v>4</v>
      </c>
      <c r="C128" s="20" t="inlineStr">
        <is>
          <t>Salsicha comum</t>
        </is>
      </c>
      <c r="D128" s="21" t="n">
        <v>0.8110000000000001</v>
      </c>
      <c r="E128" s="22" t="inlineStr">
        <is>
          <t>Já no app</t>
        </is>
      </c>
      <c r="F128" s="23" t="inlineStr">
        <is>
          <t>Salsicha, tipo hot dog</t>
        </is>
      </c>
      <c r="G128" s="24" t="n">
        <v>250</v>
      </c>
      <c r="H128" s="25" t="n">
        <v>13</v>
      </c>
      <c r="I128" s="25" t="n">
        <v>2</v>
      </c>
      <c r="J128" s="25" t="n">
        <v>21</v>
      </c>
      <c r="K128" s="25" t="n">
        <v>0</v>
      </c>
      <c r="L128" s="24" t="n">
        <v>900</v>
      </c>
      <c r="M128" s="23" t="inlineStr">
        <is>
          <t>adicionado ao app</t>
        </is>
      </c>
      <c r="N128" s="23" t="inlineStr"/>
    </row>
    <row r="129">
      <c r="A129" s="18" t="inlineStr">
        <is>
          <t>Carnes</t>
        </is>
      </c>
      <c r="B129" s="19" t="n">
        <v>5</v>
      </c>
      <c r="C129" s="20" t="inlineStr">
        <is>
          <t>Acém</t>
        </is>
      </c>
      <c r="D129" s="21" t="n">
        <v>0.6840000000000001</v>
      </c>
      <c r="E129" s="22" t="inlineStr">
        <is>
          <t>Já no app</t>
        </is>
      </c>
      <c r="F129" s="23" t="inlineStr">
        <is>
          <t>Carne, bovina, acém, moído, cozido</t>
        </is>
      </c>
      <c r="G129" s="24" t="n">
        <v>212.42</v>
      </c>
      <c r="H129" s="25" t="n">
        <v>26.69</v>
      </c>
      <c r="I129" s="25" t="n">
        <v>0</v>
      </c>
      <c r="J129" s="25" t="n">
        <v>10.92</v>
      </c>
      <c r="K129" s="25" t="n"/>
      <c r="L129" s="24" t="n">
        <v>52.36</v>
      </c>
      <c r="M129" s="23" t="inlineStr">
        <is>
          <t>TACO (já no app)</t>
        </is>
      </c>
      <c r="N129" s="23" t="inlineStr"/>
    </row>
    <row r="130">
      <c r="A130" s="18" t="inlineStr">
        <is>
          <t>Carnes</t>
        </is>
      </c>
      <c r="B130" s="19" t="n">
        <v>6</v>
      </c>
      <c r="C130" s="20" t="inlineStr">
        <is>
          <t>Chã-de-dentro</t>
        </is>
      </c>
      <c r="D130" s="21" t="n">
        <v>0.608</v>
      </c>
      <c r="E130" s="22" t="inlineStr">
        <is>
          <t>Já no app</t>
        </is>
      </c>
      <c r="F130" s="23" t="inlineStr">
        <is>
          <t>Chá, erva-doce, infusão 5%</t>
        </is>
      </c>
      <c r="G130" s="24" t="n">
        <v>1.4</v>
      </c>
      <c r="H130" s="25" t="n">
        <v>0</v>
      </c>
      <c r="I130" s="25" t="n">
        <v>0.39</v>
      </c>
      <c r="J130" s="25" t="n">
        <v>0</v>
      </c>
      <c r="K130" s="25" t="n"/>
      <c r="L130" s="24" t="n">
        <v>0.63</v>
      </c>
      <c r="M130" s="23" t="inlineStr">
        <is>
          <t>TACO (já no app)</t>
        </is>
      </c>
      <c r="N130" s="23" t="inlineStr"/>
    </row>
    <row r="131">
      <c r="A131" s="18" t="inlineStr">
        <is>
          <t>Carnes</t>
        </is>
      </c>
      <c r="B131" s="19" t="n">
        <v>7</v>
      </c>
      <c r="C131" s="20" t="inlineStr">
        <is>
          <t>Alcatra</t>
        </is>
      </c>
      <c r="D131" s="21" t="n">
        <v>0.599</v>
      </c>
      <c r="E131" s="22" t="inlineStr">
        <is>
          <t>Já no app</t>
        </is>
      </c>
      <c r="F131" s="23" t="inlineStr">
        <is>
          <t>Carne, bovina, miolo de alcatra, sem gordura, cru</t>
        </is>
      </c>
      <c r="G131" s="24" t="n">
        <v>162.87</v>
      </c>
      <c r="H131" s="25" t="n">
        <v>21.61</v>
      </c>
      <c r="I131" s="25" t="n">
        <v>0</v>
      </c>
      <c r="J131" s="25" t="n">
        <v>7.83</v>
      </c>
      <c r="K131" s="25" t="n"/>
      <c r="L131" s="24" t="n">
        <v>43.05</v>
      </c>
      <c r="M131" s="23" t="inlineStr">
        <is>
          <t>TACO (já no app)</t>
        </is>
      </c>
      <c r="N131" s="23" t="inlineStr"/>
    </row>
    <row r="132">
      <c r="A132" s="18" t="inlineStr">
        <is>
          <t>Carnes</t>
        </is>
      </c>
      <c r="B132" s="19" t="n">
        <v>8</v>
      </c>
      <c r="C132" s="20" t="inlineStr">
        <is>
          <t>Mortadela</t>
        </is>
      </c>
      <c r="D132" s="21" t="n">
        <v>0.581</v>
      </c>
      <c r="E132" s="22" t="inlineStr">
        <is>
          <t>Já no app</t>
        </is>
      </c>
      <c r="F132" s="23" t="inlineStr">
        <is>
          <t>Mortadela</t>
        </is>
      </c>
      <c r="G132" s="24" t="n">
        <v>268.82</v>
      </c>
      <c r="H132" s="25" t="n">
        <v>11.95</v>
      </c>
      <c r="I132" s="25" t="n">
        <v>5.82</v>
      </c>
      <c r="J132" s="25" t="n">
        <v>21.65</v>
      </c>
      <c r="K132" s="25" t="n"/>
      <c r="L132" s="24" t="n">
        <v>1212.17</v>
      </c>
      <c r="M132" s="23" t="inlineStr">
        <is>
          <t>TACO (já no app)</t>
        </is>
      </c>
      <c r="N132" s="23" t="inlineStr"/>
    </row>
    <row r="133">
      <c r="A133" s="18" t="inlineStr">
        <is>
          <t>Carnes</t>
        </is>
      </c>
      <c r="B133" s="19" t="n">
        <v>9</v>
      </c>
      <c r="C133" s="20" t="inlineStr">
        <is>
          <t>Carne moída</t>
        </is>
      </c>
      <c r="D133" s="21" t="n">
        <v>0.53</v>
      </c>
      <c r="E133" s="22" t="inlineStr">
        <is>
          <t>Já no app</t>
        </is>
      </c>
      <c r="F133" s="23" t="inlineStr">
        <is>
          <t>Carne, bovina, patinho, moída, refogada</t>
        </is>
      </c>
      <c r="G133" s="24" t="n">
        <v>170</v>
      </c>
      <c r="H133" s="25" t="n">
        <v>27</v>
      </c>
      <c r="I133" s="25" t="n">
        <v>0</v>
      </c>
      <c r="J133" s="25" t="n">
        <v>6</v>
      </c>
      <c r="K133" s="25" t="n">
        <v>0</v>
      </c>
      <c r="L133" s="24" t="n"/>
      <c r="M133" s="23" t="inlineStr">
        <is>
          <t>adicionado ao app</t>
        </is>
      </c>
      <c r="N133" s="23" t="inlineStr"/>
    </row>
    <row r="134">
      <c r="A134" s="18" t="inlineStr">
        <is>
          <t>Carnes</t>
        </is>
      </c>
      <c r="B134" s="19" t="n">
        <v>10</v>
      </c>
      <c r="C134" s="20" t="inlineStr">
        <is>
          <t>Carré</t>
        </is>
      </c>
      <c r="D134" s="21" t="n">
        <v>0.522</v>
      </c>
      <c r="E134" s="22" t="inlineStr">
        <is>
          <t>Já no app</t>
        </is>
      </c>
      <c r="F134" s="23" t="inlineStr">
        <is>
          <t>Açúcar, refinado</t>
        </is>
      </c>
      <c r="G134" s="24" t="n">
        <v>386.57</v>
      </c>
      <c r="H134" s="25" t="n">
        <v>0.32</v>
      </c>
      <c r="I134" s="25" t="n">
        <v>99.54000000000001</v>
      </c>
      <c r="J134" s="25" t="n">
        <v>0</v>
      </c>
      <c r="K134" s="25" t="n"/>
      <c r="L134" s="24" t="n">
        <v>12.16</v>
      </c>
      <c r="M134" s="23" t="inlineStr">
        <is>
          <t>TACO (já no app)</t>
        </is>
      </c>
      <c r="N134" s="23" t="inlineStr"/>
    </row>
    <row r="135">
      <c r="A135" s="18" t="inlineStr">
        <is>
          <t>Carnes</t>
        </is>
      </c>
      <c r="B135" s="19" t="n">
        <v>11</v>
      </c>
      <c r="C135" s="20" t="inlineStr">
        <is>
          <t>Presunto</t>
        </is>
      </c>
      <c r="D135" s="21" t="n">
        <v>0.463</v>
      </c>
      <c r="E135" s="22" t="inlineStr">
        <is>
          <t>Já no app</t>
        </is>
      </c>
      <c r="F135" s="23" t="inlineStr">
        <is>
          <t>Presunto, com capa de gordura</t>
        </is>
      </c>
      <c r="G135" s="24" t="n">
        <v>127.85</v>
      </c>
      <c r="H135" s="25" t="n">
        <v>14.37</v>
      </c>
      <c r="I135" s="25" t="n">
        <v>1.4</v>
      </c>
      <c r="J135" s="25" t="n">
        <v>6.77</v>
      </c>
      <c r="K135" s="25" t="n"/>
      <c r="L135" s="24" t="n">
        <v>1020.77</v>
      </c>
      <c r="M135" s="23" t="inlineStr">
        <is>
          <t>TACO (já no app)</t>
        </is>
      </c>
      <c r="N135" s="23" t="inlineStr"/>
    </row>
    <row r="136">
      <c r="A136" s="18" t="inlineStr">
        <is>
          <t>Carnes</t>
        </is>
      </c>
      <c r="B136" s="19" t="n">
        <v>12</v>
      </c>
      <c r="C136" s="20" t="inlineStr">
        <is>
          <t>Músculo</t>
        </is>
      </c>
      <c r="D136" s="21" t="n">
        <v>0.406</v>
      </c>
      <c r="E136" s="22" t="inlineStr">
        <is>
          <t>Já no app</t>
        </is>
      </c>
      <c r="F136" s="23" t="inlineStr">
        <is>
          <t>Carne, bovina, músculo, sem gordura, cozido</t>
        </is>
      </c>
      <c r="G136" s="24" t="n">
        <v>193.8</v>
      </c>
      <c r="H136" s="25" t="n">
        <v>31.23</v>
      </c>
      <c r="I136" s="25" t="n">
        <v>0</v>
      </c>
      <c r="J136" s="25" t="n">
        <v>6.7</v>
      </c>
      <c r="K136" s="25" t="n"/>
      <c r="L136" s="24" t="n">
        <v>61.79</v>
      </c>
      <c r="M136" s="23" t="inlineStr">
        <is>
          <t>TACO (já no app)</t>
        </is>
      </c>
      <c r="N136" s="23" t="inlineStr"/>
    </row>
    <row r="137">
      <c r="A137" s="18" t="inlineStr">
        <is>
          <t>Carnes</t>
        </is>
      </c>
      <c r="B137" s="19" t="n">
        <v>13</v>
      </c>
      <c r="C137" s="20" t="inlineStr">
        <is>
          <t>Carne-seca</t>
        </is>
      </c>
      <c r="D137" s="21" t="n">
        <v>0.373</v>
      </c>
      <c r="E137" s="22" t="inlineStr">
        <is>
          <t>Já no app</t>
        </is>
      </c>
      <c r="F137" s="23" t="inlineStr">
        <is>
          <t>Carne, bovina, seca, cozida</t>
        </is>
      </c>
      <c r="G137" s="24" t="n">
        <v>312.8</v>
      </c>
      <c r="H137" s="25" t="n">
        <v>26.93</v>
      </c>
      <c r="I137" s="25" t="n">
        <v>0</v>
      </c>
      <c r="J137" s="25" t="n">
        <v>21.93</v>
      </c>
      <c r="K137" s="25" t="n"/>
      <c r="L137" s="24" t="n">
        <v>1943.18</v>
      </c>
      <c r="M137" s="23" t="inlineStr">
        <is>
          <t>TACO (já no app)</t>
        </is>
      </c>
      <c r="N137" s="23" t="inlineStr"/>
    </row>
    <row r="138">
      <c r="A138" s="18" t="inlineStr">
        <is>
          <t>Carnes</t>
        </is>
      </c>
      <c r="B138" s="19" t="n">
        <v>14</v>
      </c>
      <c r="C138" s="20" t="inlineStr">
        <is>
          <t>Pernil</t>
        </is>
      </c>
      <c r="D138" s="21" t="n">
        <v>0.369</v>
      </c>
      <c r="E138" s="22" t="inlineStr">
        <is>
          <t>Já no app</t>
        </is>
      </c>
      <c r="F138" s="23" t="inlineStr">
        <is>
          <t>Porco, pernil, assado</t>
        </is>
      </c>
      <c r="G138" s="24" t="n">
        <v>262.26</v>
      </c>
      <c r="H138" s="25" t="n">
        <v>32.13</v>
      </c>
      <c r="I138" s="25" t="n">
        <v>0</v>
      </c>
      <c r="J138" s="25" t="n">
        <v>13.86</v>
      </c>
      <c r="K138" s="25" t="n"/>
      <c r="L138" s="24" t="n">
        <v>62.41</v>
      </c>
      <c r="M138" s="23" t="inlineStr">
        <is>
          <t>TACO (já no app)</t>
        </is>
      </c>
      <c r="N138" s="23" t="inlineStr"/>
    </row>
    <row r="139">
      <c r="A139" s="18" t="inlineStr">
        <is>
          <t>Carnes</t>
        </is>
      </c>
      <c r="B139" s="19" t="n">
        <v>15</v>
      </c>
      <c r="C139" s="20" t="inlineStr">
        <is>
          <t>Patinho</t>
        </is>
      </c>
      <c r="D139" s="21" t="n">
        <v>0.367</v>
      </c>
      <c r="E139" s="22" t="inlineStr">
        <is>
          <t>Já no app</t>
        </is>
      </c>
      <c r="F139" s="23" t="inlineStr">
        <is>
          <t>Carne, bovina, patinho, sem gordura, cru</t>
        </is>
      </c>
      <c r="G139" s="24" t="n">
        <v>133.47</v>
      </c>
      <c r="H139" s="25" t="n">
        <v>21.72</v>
      </c>
      <c r="I139" s="25" t="n">
        <v>0</v>
      </c>
      <c r="J139" s="25" t="n">
        <v>4.51</v>
      </c>
      <c r="K139" s="25" t="n"/>
      <c r="L139" s="24" t="n">
        <v>49.13</v>
      </c>
      <c r="M139" s="23" t="inlineStr">
        <is>
          <t>TACO (já no app)</t>
        </is>
      </c>
      <c r="N139" s="23" t="inlineStr"/>
    </row>
    <row r="140">
      <c r="A140" s="18" t="inlineStr">
        <is>
          <t>Carnes</t>
        </is>
      </c>
      <c r="B140" s="19" t="n">
        <v>16</v>
      </c>
      <c r="C140" s="20" t="inlineStr">
        <is>
          <t>Costela</t>
        </is>
      </c>
      <c r="D140" s="21" t="n">
        <v>0.358</v>
      </c>
      <c r="E140" s="22" t="inlineStr">
        <is>
          <t>Já no app</t>
        </is>
      </c>
      <c r="F140" s="23" t="inlineStr">
        <is>
          <t>Carne, bovina, contra-filé de costela, cru</t>
        </is>
      </c>
      <c r="G140" s="24" t="n">
        <v>202.44</v>
      </c>
      <c r="H140" s="25" t="n">
        <v>19.8</v>
      </c>
      <c r="I140" s="25" t="n">
        <v>0</v>
      </c>
      <c r="J140" s="25" t="n">
        <v>13.07</v>
      </c>
      <c r="K140" s="25" t="n"/>
      <c r="L140" s="24" t="n">
        <v>38.52</v>
      </c>
      <c r="M140" s="23" t="inlineStr">
        <is>
          <t>TACO (já no app)</t>
        </is>
      </c>
      <c r="N140" s="23" t="inlineStr"/>
    </row>
    <row r="141">
      <c r="A141" s="18" t="inlineStr">
        <is>
          <t>Carnes</t>
        </is>
      </c>
      <c r="B141" s="19" t="n">
        <v>17</v>
      </c>
      <c r="C141" s="20" t="inlineStr">
        <is>
          <t>Pá</t>
        </is>
      </c>
      <c r="D141" s="21" t="n">
        <v>0.355</v>
      </c>
      <c r="E141" s="22" t="inlineStr">
        <is>
          <t>Já no app</t>
        </is>
      </c>
      <c r="F141" s="23" t="inlineStr">
        <is>
          <t>Bolo, mistura para</t>
        </is>
      </c>
      <c r="G141" s="24" t="n">
        <v>418.63</v>
      </c>
      <c r="H141" s="25" t="n">
        <v>6.16</v>
      </c>
      <c r="I141" s="25" t="n">
        <v>84.70999999999999</v>
      </c>
      <c r="J141" s="25" t="n">
        <v>6.13</v>
      </c>
      <c r="K141" s="25" t="n">
        <v>1.7</v>
      </c>
      <c r="L141" s="24" t="n">
        <v>462.88</v>
      </c>
      <c r="M141" s="23" t="inlineStr">
        <is>
          <t>TACO (já no app)</t>
        </is>
      </c>
      <c r="N141" s="23" t="inlineStr"/>
    </row>
    <row r="142">
      <c r="A142" s="18" t="inlineStr">
        <is>
          <t>Carnes</t>
        </is>
      </c>
      <c r="B142" s="19" t="n">
        <v>18</v>
      </c>
      <c r="C142" s="20" t="inlineStr">
        <is>
          <t>Carne moída</t>
        </is>
      </c>
      <c r="D142" s="21" t="n">
        <v>0.336</v>
      </c>
      <c r="E142" s="22" t="inlineStr">
        <is>
          <t>Já no app</t>
        </is>
      </c>
      <c r="F142" s="23" t="inlineStr">
        <is>
          <t>Carne, bovina, patinho, moída, refogada</t>
        </is>
      </c>
      <c r="G142" s="24" t="n">
        <v>170</v>
      </c>
      <c r="H142" s="25" t="n">
        <v>27</v>
      </c>
      <c r="I142" s="25" t="n">
        <v>0</v>
      </c>
      <c r="J142" s="25" t="n">
        <v>6</v>
      </c>
      <c r="K142" s="25" t="n">
        <v>0</v>
      </c>
      <c r="L142" s="24" t="n"/>
      <c r="M142" s="23" t="inlineStr">
        <is>
          <t>adicionado ao app</t>
        </is>
      </c>
      <c r="N142" s="23" t="inlineStr"/>
    </row>
    <row r="143">
      <c r="A143" s="18" t="inlineStr">
        <is>
          <t>Carnes</t>
        </is>
      </c>
      <c r="B143" s="19" t="n">
        <v>19</v>
      </c>
      <c r="C143" s="20" t="inlineStr">
        <is>
          <t>Lagarto comum</t>
        </is>
      </c>
      <c r="D143" s="21" t="n">
        <v>0.225</v>
      </c>
      <c r="E143" s="22" t="inlineStr">
        <is>
          <t>Já no app</t>
        </is>
      </c>
      <c r="F143" s="23" t="inlineStr">
        <is>
          <t>Carne, bovina, lagarto, cru</t>
        </is>
      </c>
      <c r="G143" s="24" t="n"/>
      <c r="H143" s="25" t="n"/>
      <c r="I143" s="25" t="n"/>
      <c r="J143" s="25" t="n"/>
      <c r="K143" s="25" t="n"/>
      <c r="L143" s="24" t="n"/>
      <c r="M143" s="23" t="inlineStr">
        <is>
          <t>já no app (equivalente)</t>
        </is>
      </c>
      <c r="N143" s="23" t="inlineStr">
        <is>
          <t>Carne, bovina, lagarto, cru — é o mesmo corte</t>
        </is>
      </c>
    </row>
    <row r="144">
      <c r="A144" s="18" t="inlineStr">
        <is>
          <t>Carnes</t>
        </is>
      </c>
      <c r="B144" s="19" t="n">
        <v>20</v>
      </c>
      <c r="C144" s="20" t="inlineStr">
        <is>
          <t>Peito</t>
        </is>
      </c>
      <c r="D144" s="21" t="n">
        <v>0.201</v>
      </c>
      <c r="E144" s="22" t="inlineStr">
        <is>
          <t>Já no app</t>
        </is>
      </c>
      <c r="F144" s="23" t="inlineStr">
        <is>
          <t>Carne, bovina, peito, sem gordura, cozido</t>
        </is>
      </c>
      <c r="G144" s="24" t="n">
        <v>338.47</v>
      </c>
      <c r="H144" s="25" t="n">
        <v>22.25</v>
      </c>
      <c r="I144" s="25" t="n">
        <v>0</v>
      </c>
      <c r="J144" s="25" t="n">
        <v>26.99</v>
      </c>
      <c r="K144" s="25" t="n"/>
      <c r="L144" s="24" t="n">
        <v>55.71</v>
      </c>
      <c r="M144" s="23" t="inlineStr">
        <is>
          <t>TACO (já no app)</t>
        </is>
      </c>
      <c r="N144" s="23" t="inlineStr"/>
    </row>
    <row r="145">
      <c r="A145" s="18" t="inlineStr">
        <is>
          <t>Carnes</t>
        </is>
      </c>
      <c r="B145" s="19" t="n">
        <v>21</v>
      </c>
      <c r="C145" s="20" t="inlineStr">
        <is>
          <t>Carne de sol</t>
        </is>
      </c>
      <c r="D145" s="21" t="n">
        <v>0.199</v>
      </c>
      <c r="E145" s="22" t="inlineStr">
        <is>
          <t>Já no app</t>
        </is>
      </c>
      <c r="F145" s="23" t="inlineStr">
        <is>
          <t>Carne, bovina, acém, moído, cozido</t>
        </is>
      </c>
      <c r="G145" s="24" t="n">
        <v>212.42</v>
      </c>
      <c r="H145" s="25" t="n">
        <v>26.69</v>
      </c>
      <c r="I145" s="25" t="n">
        <v>0</v>
      </c>
      <c r="J145" s="25" t="n">
        <v>10.92</v>
      </c>
      <c r="K145" s="25" t="n"/>
      <c r="L145" s="24" t="n">
        <v>52.36</v>
      </c>
      <c r="M145" s="23" t="inlineStr">
        <is>
          <t>TACO (já no app)</t>
        </is>
      </c>
      <c r="N145" s="23" t="inlineStr"/>
    </row>
    <row r="146">
      <c r="A146" s="18" t="inlineStr">
        <is>
          <t>Carnes</t>
        </is>
      </c>
      <c r="B146" s="19" t="n">
        <v>22</v>
      </c>
      <c r="C146" s="20" t="inlineStr">
        <is>
          <t>Carne de hambúrger</t>
        </is>
      </c>
      <c r="D146" s="21" t="n">
        <v>0.163</v>
      </c>
      <c r="E146" s="22" t="inlineStr">
        <is>
          <t>Já no app</t>
        </is>
      </c>
      <c r="F146" s="23" t="inlineStr">
        <is>
          <t>Carne, bovina, acém, moído, cozido</t>
        </is>
      </c>
      <c r="G146" s="24" t="n">
        <v>212.42</v>
      </c>
      <c r="H146" s="25" t="n">
        <v>26.69</v>
      </c>
      <c r="I146" s="25" t="n">
        <v>0</v>
      </c>
      <c r="J146" s="25" t="n">
        <v>10.92</v>
      </c>
      <c r="K146" s="25" t="n"/>
      <c r="L146" s="24" t="n">
        <v>52.36</v>
      </c>
      <c r="M146" s="23" t="inlineStr">
        <is>
          <t>TACO (já no app)</t>
        </is>
      </c>
      <c r="N146" s="23" t="inlineStr"/>
    </row>
    <row r="147">
      <c r="A147" s="18" t="inlineStr">
        <is>
          <t>Carnes</t>
        </is>
      </c>
      <c r="B147" s="19" t="n">
        <v>23</v>
      </c>
      <c r="C147" s="20" t="inlineStr">
        <is>
          <t>Toucinho defumado</t>
        </is>
      </c>
      <c r="D147" s="21" t="n">
        <v>0.156</v>
      </c>
      <c r="E147" s="22" t="inlineStr">
        <is>
          <t>Já no app</t>
        </is>
      </c>
      <c r="F147" s="23" t="inlineStr">
        <is>
          <t>Toucinho, cru</t>
        </is>
      </c>
      <c r="G147" s="24" t="n">
        <v>592.53</v>
      </c>
      <c r="H147" s="25" t="n">
        <v>11.48</v>
      </c>
      <c r="I147" s="25" t="n">
        <v>0</v>
      </c>
      <c r="J147" s="25" t="n">
        <v>60.26</v>
      </c>
      <c r="K147" s="25" t="n"/>
      <c r="L147" s="24" t="n">
        <v>49.59</v>
      </c>
      <c r="M147" s="23" t="inlineStr">
        <is>
          <t>TACO (já no app)</t>
        </is>
      </c>
      <c r="N147" s="23" t="inlineStr"/>
    </row>
    <row r="148">
      <c r="A148" s="18" t="inlineStr">
        <is>
          <t>Carnes</t>
        </is>
      </c>
      <c r="B148" s="19" t="n">
        <v>24</v>
      </c>
      <c r="C148" s="20" t="inlineStr">
        <is>
          <t>Capa de filé</t>
        </is>
      </c>
      <c r="D148" s="21" t="n">
        <v>0.155</v>
      </c>
      <c r="E148" s="22" t="inlineStr">
        <is>
          <t>Já no app</t>
        </is>
      </c>
      <c r="F148" s="23" t="inlineStr">
        <is>
          <t>Carne, bovina, capa de contra-filé, com gordura, crua</t>
        </is>
      </c>
      <c r="G148" s="24" t="n">
        <v>216.91</v>
      </c>
      <c r="H148" s="25" t="n">
        <v>19.2</v>
      </c>
      <c r="I148" s="25" t="n">
        <v>0</v>
      </c>
      <c r="J148" s="25" t="n">
        <v>14.96</v>
      </c>
      <c r="K148" s="25" t="n"/>
      <c r="L148" s="24" t="n">
        <v>57.54</v>
      </c>
      <c r="M148" s="23" t="inlineStr">
        <is>
          <t>TACO (já no app)</t>
        </is>
      </c>
      <c r="N148" s="23" t="inlineStr"/>
    </row>
    <row r="149">
      <c r="A149" s="18" t="inlineStr">
        <is>
          <t>Carnes</t>
        </is>
      </c>
      <c r="B149" s="19" t="n">
        <v>25</v>
      </c>
      <c r="C149" s="20" t="inlineStr">
        <is>
          <t>Lombo</t>
        </is>
      </c>
      <c r="D149" s="21" t="n">
        <v>0.146</v>
      </c>
      <c r="E149" s="22" t="inlineStr">
        <is>
          <t>Já no app</t>
        </is>
      </c>
      <c r="F149" s="23" t="inlineStr">
        <is>
          <t>Porco, lombo, assado</t>
        </is>
      </c>
      <c r="G149" s="24" t="n">
        <v>210.23</v>
      </c>
      <c r="H149" s="25" t="n">
        <v>35.73</v>
      </c>
      <c r="I149" s="25" t="n">
        <v>0</v>
      </c>
      <c r="J149" s="25" t="n">
        <v>6.4</v>
      </c>
      <c r="K149" s="25" t="n"/>
      <c r="L149" s="24" t="n">
        <v>38.92</v>
      </c>
      <c r="M149" s="23" t="inlineStr">
        <is>
          <t>TACO (já no app)</t>
        </is>
      </c>
      <c r="N149" s="23" t="inlineStr"/>
    </row>
    <row r="150">
      <c r="A150" s="18" t="inlineStr">
        <is>
          <t>Carnes</t>
        </is>
      </c>
      <c r="B150" s="19" t="n">
        <v>26</v>
      </c>
      <c r="C150" s="20" t="inlineStr">
        <is>
          <t>Filé mignon</t>
        </is>
      </c>
      <c r="D150" s="21" t="n">
        <v>0.118</v>
      </c>
      <c r="E150" s="22" t="inlineStr">
        <is>
          <t>Já no app</t>
        </is>
      </c>
      <c r="F150" s="23" t="inlineStr">
        <is>
          <t>Porco, filé mignon (lombinho), assado</t>
        </is>
      </c>
      <c r="G150" s="24" t="n">
        <v>143</v>
      </c>
      <c r="H150" s="25" t="n">
        <v>26.2</v>
      </c>
      <c r="I150" s="25" t="n">
        <v>0</v>
      </c>
      <c r="J150" s="25" t="n">
        <v>3.51</v>
      </c>
      <c r="K150" s="25" t="n">
        <v>0</v>
      </c>
      <c r="L150" s="24" t="n">
        <v>57</v>
      </c>
      <c r="M150" s="23" t="inlineStr">
        <is>
          <t>adicionado ao app</t>
        </is>
      </c>
      <c r="N150" s="23" t="inlineStr"/>
    </row>
    <row r="151">
      <c r="A151" s="18" t="inlineStr">
        <is>
          <t>Carnes</t>
        </is>
      </c>
      <c r="B151" s="19" t="n">
        <v>27</v>
      </c>
      <c r="C151" s="20" t="inlineStr">
        <is>
          <t>Salame</t>
        </is>
      </c>
      <c r="D151" s="21" t="n">
        <v>0.112</v>
      </c>
      <c r="E151" s="22" t="inlineStr">
        <is>
          <t>Já no app</t>
        </is>
      </c>
      <c r="F151" s="23" t="inlineStr">
        <is>
          <t>Salame</t>
        </is>
      </c>
      <c r="G151" s="24" t="n">
        <v>397.84</v>
      </c>
      <c r="H151" s="25" t="n">
        <v>25.81</v>
      </c>
      <c r="I151" s="25" t="n">
        <v>2.91</v>
      </c>
      <c r="J151" s="25" t="n">
        <v>30.64</v>
      </c>
      <c r="K151" s="25" t="n"/>
      <c r="L151" s="24" t="n">
        <v>1574.17</v>
      </c>
      <c r="M151" s="23" t="inlineStr">
        <is>
          <t>TACO (já no app)</t>
        </is>
      </c>
      <c r="N151" s="23" t="inlineStr"/>
    </row>
    <row r="152">
      <c r="A152" s="18" t="inlineStr">
        <is>
          <t>Carnes</t>
        </is>
      </c>
      <c r="B152" s="19" t="n">
        <v>28</v>
      </c>
      <c r="C152" s="20" t="inlineStr">
        <is>
          <t>Porco eviscerado</t>
        </is>
      </c>
      <c r="D152" s="21" t="n">
        <v>0.106</v>
      </c>
      <c r="E152" s="22" t="inlineStr">
        <is>
          <t>Já no app</t>
        </is>
      </c>
      <c r="F152" s="23" t="inlineStr">
        <is>
          <t>Porco, bisteca, crua</t>
        </is>
      </c>
      <c r="G152" s="24" t="n">
        <v>164.12</v>
      </c>
      <c r="H152" s="25" t="n">
        <v>21.5</v>
      </c>
      <c r="I152" s="25" t="n">
        <v>0</v>
      </c>
      <c r="J152" s="25" t="n">
        <v>8.02</v>
      </c>
      <c r="K152" s="25" t="n"/>
      <c r="L152" s="24" t="n">
        <v>54.29</v>
      </c>
      <c r="M152" s="23" t="inlineStr">
        <is>
          <t>TACO (já no app)</t>
        </is>
      </c>
      <c r="N152" s="23" t="inlineStr"/>
    </row>
    <row r="153">
      <c r="A153" s="18" t="inlineStr">
        <is>
          <t>Carnes</t>
        </is>
      </c>
      <c r="B153" s="19" t="n">
        <v>29</v>
      </c>
      <c r="C153" s="20" t="inlineStr">
        <is>
          <t>Toucinho fresco</t>
        </is>
      </c>
      <c r="D153" s="21" t="n">
        <v>0.103</v>
      </c>
      <c r="E153" s="22" t="inlineStr">
        <is>
          <t>Já no app</t>
        </is>
      </c>
      <c r="F153" s="23" t="inlineStr">
        <is>
          <t>Toucinho, cru</t>
        </is>
      </c>
      <c r="G153" s="24" t="n">
        <v>592.53</v>
      </c>
      <c r="H153" s="25" t="n">
        <v>11.48</v>
      </c>
      <c r="I153" s="25" t="n">
        <v>0</v>
      </c>
      <c r="J153" s="25" t="n">
        <v>60.26</v>
      </c>
      <c r="K153" s="25" t="n"/>
      <c r="L153" s="24" t="n">
        <v>49.59</v>
      </c>
      <c r="M153" s="23" t="inlineStr">
        <is>
          <t>TACO (já no app)</t>
        </is>
      </c>
      <c r="N153" s="23" t="inlineStr"/>
    </row>
    <row r="154">
      <c r="A154" s="18" t="inlineStr">
        <is>
          <t>Carnes</t>
        </is>
      </c>
      <c r="B154" s="19" t="n">
        <v>30</v>
      </c>
      <c r="C154" s="20" t="inlineStr">
        <is>
          <t>Carne de carneiro</t>
        </is>
      </c>
      <c r="D154" s="21" t="n">
        <v>0.097</v>
      </c>
      <c r="E154" s="22" t="inlineStr">
        <is>
          <t>Já no app</t>
        </is>
      </c>
      <c r="F154" s="23" t="inlineStr">
        <is>
          <t>Carne, bovina, acém, moído, cozido</t>
        </is>
      </c>
      <c r="G154" s="24" t="n">
        <v>212.42</v>
      </c>
      <c r="H154" s="25" t="n">
        <v>26.69</v>
      </c>
      <c r="I154" s="25" t="n">
        <v>0</v>
      </c>
      <c r="J154" s="25" t="n">
        <v>10.92</v>
      </c>
      <c r="K154" s="25" t="n"/>
      <c r="L154" s="24" t="n">
        <v>52.36</v>
      </c>
      <c r="M154" s="23" t="inlineStr">
        <is>
          <t>TACO (já no app)</t>
        </is>
      </c>
      <c r="N154" s="23" t="inlineStr"/>
    </row>
    <row r="155">
      <c r="A155" s="18" t="inlineStr">
        <is>
          <t>Carnes</t>
        </is>
      </c>
      <c r="B155" s="19" t="n">
        <v>31</v>
      </c>
      <c r="C155" s="20" t="inlineStr">
        <is>
          <t>Carne de cabrito</t>
        </is>
      </c>
      <c r="D155" s="21" t="n">
        <v>0.091</v>
      </c>
      <c r="E155" s="22" t="inlineStr">
        <is>
          <t>Já no app</t>
        </is>
      </c>
      <c r="F155" s="23" t="inlineStr">
        <is>
          <t>Carne, bovina, acém, moído, cozido</t>
        </is>
      </c>
      <c r="G155" s="24" t="n">
        <v>212.42</v>
      </c>
      <c r="H155" s="25" t="n">
        <v>26.69</v>
      </c>
      <c r="I155" s="25" t="n">
        <v>0</v>
      </c>
      <c r="J155" s="25" t="n">
        <v>10.92</v>
      </c>
      <c r="K155" s="25" t="n"/>
      <c r="L155" s="24" t="n">
        <v>52.36</v>
      </c>
      <c r="M155" s="23" t="inlineStr">
        <is>
          <t>TACO (já no app)</t>
        </is>
      </c>
      <c r="N155" s="23" t="inlineStr"/>
    </row>
    <row r="156">
      <c r="A156" s="18" t="inlineStr">
        <is>
          <t>Carnes</t>
        </is>
      </c>
      <c r="B156" s="19" t="n">
        <v>32</v>
      </c>
      <c r="C156" s="20" t="inlineStr">
        <is>
          <t>Mocotó</t>
        </is>
      </c>
      <c r="D156" s="21" t="n">
        <v>0.06</v>
      </c>
      <c r="E156" s="22" t="inlineStr">
        <is>
          <t>Já no app</t>
        </is>
      </c>
      <c r="F156" s="23" t="inlineStr">
        <is>
          <t>Geléia, mocotó, natural</t>
        </is>
      </c>
      <c r="G156" s="24" t="n">
        <v>106.09</v>
      </c>
      <c r="H156" s="25" t="n">
        <v>2.13</v>
      </c>
      <c r="I156" s="25" t="n">
        <v>24.23</v>
      </c>
      <c r="J156" s="25" t="n">
        <v>0.07000000000000001</v>
      </c>
      <c r="K156" s="25" t="n"/>
      <c r="L156" s="24" t="n">
        <v>42.68</v>
      </c>
      <c r="M156" s="23" t="inlineStr">
        <is>
          <t>TACO (já no app)</t>
        </is>
      </c>
      <c r="N156" s="23" t="inlineStr"/>
    </row>
    <row r="157">
      <c r="A157" s="18" t="inlineStr">
        <is>
          <t>Carnes</t>
        </is>
      </c>
      <c r="B157" s="19" t="n">
        <v>33</v>
      </c>
      <c r="C157" s="20" t="inlineStr">
        <is>
          <t>Lagarto redondo</t>
        </is>
      </c>
      <c r="D157" s="21" t="n">
        <v>0.032</v>
      </c>
      <c r="E157" s="22" t="inlineStr">
        <is>
          <t>Já no app</t>
        </is>
      </c>
      <c r="F157" s="23" t="inlineStr">
        <is>
          <t>Carne, bovina, lagarto, cru</t>
        </is>
      </c>
      <c r="G157" s="24" t="n"/>
      <c r="H157" s="25" t="n"/>
      <c r="I157" s="25" t="n"/>
      <c r="J157" s="25" t="n"/>
      <c r="K157" s="25" t="n"/>
      <c r="L157" s="24" t="n"/>
      <c r="M157" s="23" t="inlineStr">
        <is>
          <t>já no app (equivalente)</t>
        </is>
      </c>
      <c r="N157" s="23" t="inlineStr">
        <is>
          <t>Carne, bovina, lagarto, cru — é o mesmo corte</t>
        </is>
      </c>
    </row>
    <row r="158">
      <c r="A158" s="18" t="inlineStr">
        <is>
          <t>Carnes</t>
        </is>
      </c>
      <c r="B158" s="19" t="n">
        <v>34</v>
      </c>
      <c r="C158" s="20" t="inlineStr">
        <is>
          <t>Pé de porco salgado</t>
        </is>
      </c>
      <c r="D158" s="21" t="n">
        <v>0.021</v>
      </c>
      <c r="E158" s="22" t="inlineStr">
        <is>
          <t>Já no app</t>
        </is>
      </c>
      <c r="F158" s="23" t="inlineStr">
        <is>
          <t>Porco, bisteca, crua</t>
        </is>
      </c>
      <c r="G158" s="24" t="n">
        <v>164.12</v>
      </c>
      <c r="H158" s="25" t="n">
        <v>21.5</v>
      </c>
      <c r="I158" s="25" t="n">
        <v>0</v>
      </c>
      <c r="J158" s="25" t="n">
        <v>8.02</v>
      </c>
      <c r="K158" s="25" t="n"/>
      <c r="L158" s="24" t="n">
        <v>54.29</v>
      </c>
      <c r="M158" s="23" t="inlineStr">
        <is>
          <t>TACO (já no app)</t>
        </is>
      </c>
      <c r="N158" s="23" t="inlineStr"/>
    </row>
    <row r="159">
      <c r="A159" s="12" t="inlineStr">
        <is>
          <t>Carnes</t>
        </is>
      </c>
      <c r="B159" s="13" t="n">
        <v>35</v>
      </c>
      <c r="C159" s="14" t="inlineStr">
        <is>
          <t>Paio</t>
        </is>
      </c>
      <c r="D159" s="15" t="n">
        <v>0.008999999999999999</v>
      </c>
      <c r="E159" s="12" t="inlineStr">
        <is>
          <t>Falta subir</t>
        </is>
      </c>
      <c r="F159" s="14" t="inlineStr"/>
      <c r="G159" s="16" t="n">
        <v>309</v>
      </c>
      <c r="H159" s="17" t="n">
        <v>12</v>
      </c>
      <c r="I159" s="17" t="n">
        <v>0.9399999999999999</v>
      </c>
      <c r="J159" s="17" t="n">
        <v>28.2</v>
      </c>
      <c r="K159" s="17" t="n">
        <v>0</v>
      </c>
      <c r="L159" s="16" t="n">
        <v>827</v>
      </c>
      <c r="M159" s="14" t="inlineStr">
        <is>
          <t>USDA (smoked link sausage, pork) — aproximação</t>
        </is>
      </c>
      <c r="N159" s="14" t="inlineStr"/>
    </row>
    <row r="160">
      <c r="A160" s="18" t="inlineStr">
        <is>
          <t>Carnes</t>
        </is>
      </c>
      <c r="B160" s="19" t="n">
        <v>36</v>
      </c>
      <c r="C160" s="20" t="inlineStr">
        <is>
          <t>Costela de porco salgada</t>
        </is>
      </c>
      <c r="D160" s="21" t="n">
        <v>0.002</v>
      </c>
      <c r="E160" s="22" t="inlineStr">
        <is>
          <t>Já no app</t>
        </is>
      </c>
      <c r="F160" s="23" t="inlineStr">
        <is>
          <t>Porco, costela, assada</t>
        </is>
      </c>
      <c r="G160" s="24" t="n">
        <v>402.17</v>
      </c>
      <c r="H160" s="25" t="n">
        <v>30.22</v>
      </c>
      <c r="I160" s="25" t="n">
        <v>0</v>
      </c>
      <c r="J160" s="25" t="n">
        <v>30.28</v>
      </c>
      <c r="K160" s="25" t="n"/>
      <c r="L160" s="24" t="n">
        <v>62.68</v>
      </c>
      <c r="M160" s="23" t="inlineStr">
        <is>
          <t>TACO (já no app)</t>
        </is>
      </c>
      <c r="N160" s="23" t="inlineStr"/>
    </row>
    <row r="161">
      <c r="A161" s="18" t="inlineStr">
        <is>
          <t>Açúcares, doces e produtos de confeitaria</t>
        </is>
      </c>
      <c r="B161" s="19" t="n">
        <v>1</v>
      </c>
      <c r="C161" s="20" t="inlineStr">
        <is>
          <t>Açúcar cristal</t>
        </is>
      </c>
      <c r="D161" s="21" t="n">
        <v>6.048</v>
      </c>
      <c r="E161" s="22" t="inlineStr">
        <is>
          <t>Já no app</t>
        </is>
      </c>
      <c r="F161" s="23" t="inlineStr">
        <is>
          <t>Açúcar, cristal</t>
        </is>
      </c>
      <c r="G161" s="24" t="n">
        <v>386.85</v>
      </c>
      <c r="H161" s="25" t="n">
        <v>0.32</v>
      </c>
      <c r="I161" s="25" t="n">
        <v>99.61</v>
      </c>
      <c r="J161" s="25" t="n">
        <v>0</v>
      </c>
      <c r="K161" s="25" t="n"/>
      <c r="L161" s="24" t="n">
        <v>0</v>
      </c>
      <c r="M161" s="23" t="inlineStr">
        <is>
          <t>TACO (já no app)</t>
        </is>
      </c>
      <c r="N161" s="23" t="inlineStr"/>
    </row>
    <row r="162">
      <c r="A162" s="18" t="inlineStr">
        <is>
          <t>Açúcares, doces e produtos de confeitaria</t>
        </is>
      </c>
      <c r="B162" s="19" t="n">
        <v>2</v>
      </c>
      <c r="C162" s="20" t="inlineStr">
        <is>
          <t>Açúcar refinado</t>
        </is>
      </c>
      <c r="D162" s="21" t="n">
        <v>3.704</v>
      </c>
      <c r="E162" s="22" t="inlineStr">
        <is>
          <t>Já no app</t>
        </is>
      </c>
      <c r="F162" s="23" t="inlineStr">
        <is>
          <t>Açúcar, refinado</t>
        </is>
      </c>
      <c r="G162" s="24" t="n">
        <v>386.57</v>
      </c>
      <c r="H162" s="25" t="n">
        <v>0.32</v>
      </c>
      <c r="I162" s="25" t="n">
        <v>99.54000000000001</v>
      </c>
      <c r="J162" s="25" t="n">
        <v>0</v>
      </c>
      <c r="K162" s="25" t="n"/>
      <c r="L162" s="24" t="n">
        <v>12.16</v>
      </c>
      <c r="M162" s="23" t="inlineStr">
        <is>
          <t>TACO (já no app)</t>
        </is>
      </c>
      <c r="N162" s="23" t="inlineStr"/>
    </row>
    <row r="163">
      <c r="A163" s="12" t="inlineStr">
        <is>
          <t>Açúcares, doces e produtos de confeitaria</t>
        </is>
      </c>
      <c r="B163" s="13" t="n">
        <v>3</v>
      </c>
      <c r="C163" s="14" t="inlineStr">
        <is>
          <t>Sorvete</t>
        </is>
      </c>
      <c r="D163" s="15" t="n">
        <v>0.882</v>
      </c>
      <c r="E163" s="12" t="inlineStr">
        <is>
          <t>Falta subir</t>
        </is>
      </c>
      <c r="F163" s="14" t="inlineStr"/>
      <c r="G163" s="16" t="n">
        <v>210</v>
      </c>
      <c r="H163" s="17" t="n">
        <v>3.5</v>
      </c>
      <c r="I163" s="17" t="n">
        <v>26.6</v>
      </c>
      <c r="J163" s="17" t="n">
        <v>10.1</v>
      </c>
      <c r="K163" s="17" t="n">
        <v>0.93</v>
      </c>
      <c r="L163" s="16" t="n">
        <v>60</v>
      </c>
      <c r="M163" s="14" t="inlineStr">
        <is>
          <t>TBCA (conferido: USDA 207/3,5/23,6/11)</t>
        </is>
      </c>
      <c r="N163" s="14" t="inlineStr"/>
    </row>
    <row r="164">
      <c r="A164" s="18" t="inlineStr">
        <is>
          <t>Açúcares, doces e produtos de confeitaria</t>
        </is>
      </c>
      <c r="B164" s="19" t="n">
        <v>4</v>
      </c>
      <c r="C164" s="20" t="inlineStr">
        <is>
          <t>Chocolate em pó</t>
        </is>
      </c>
      <c r="D164" s="21" t="n">
        <v>0.607</v>
      </c>
      <c r="E164" s="22" t="inlineStr">
        <is>
          <t>Já no app</t>
        </is>
      </c>
      <c r="F164" s="23" t="inlineStr">
        <is>
          <t>Chocolate, ao leite</t>
        </is>
      </c>
      <c r="G164" s="24" t="n">
        <v>539.59</v>
      </c>
      <c r="H164" s="25" t="n">
        <v>7.22</v>
      </c>
      <c r="I164" s="25" t="n">
        <v>59.58</v>
      </c>
      <c r="J164" s="25" t="n">
        <v>30.27</v>
      </c>
      <c r="K164" s="25" t="n">
        <v>2.17</v>
      </c>
      <c r="L164" s="24" t="n">
        <v>77.09999999999999</v>
      </c>
      <c r="M164" s="23" t="inlineStr">
        <is>
          <t>TACO (já no app)</t>
        </is>
      </c>
      <c r="N164" s="23" t="inlineStr"/>
    </row>
    <row r="165">
      <c r="A165" s="18" t="inlineStr">
        <is>
          <t>Açúcares, doces e produtos de confeitaria</t>
        </is>
      </c>
      <c r="B165" s="19" t="n">
        <v>5</v>
      </c>
      <c r="C165" s="20" t="inlineStr">
        <is>
          <t>Polpa de fruta</t>
        </is>
      </c>
      <c r="D165" s="21" t="n">
        <v>0.223</v>
      </c>
      <c r="E165" s="22" t="inlineStr">
        <is>
          <t>Já no app</t>
        </is>
      </c>
      <c r="F165" s="23" t="inlineStr">
        <is>
          <t>várias polpas já cadastradas (açaí, manga, maracujá, cajá...)</t>
        </is>
      </c>
      <c r="G165" s="24" t="n"/>
      <c r="H165" s="25" t="n"/>
      <c r="I165" s="25" t="n"/>
      <c r="J165" s="25" t="n"/>
      <c r="K165" s="25" t="n"/>
      <c r="L165" s="24" t="n"/>
      <c r="M165" s="23" t="inlineStr">
        <is>
          <t>já no app (equivalente)</t>
        </is>
      </c>
      <c r="N165" s="23" t="inlineStr">
        <is>
          <t>várias polpas já cadastradas (açaí, manga, maracujá, cajá...)</t>
        </is>
      </c>
    </row>
    <row r="166">
      <c r="A166" s="18" t="inlineStr">
        <is>
          <t>Açúcares, doces e produtos de confeitaria</t>
        </is>
      </c>
      <c r="B166" s="19" t="n">
        <v>6</v>
      </c>
      <c r="C166" s="20" t="inlineStr">
        <is>
          <t>Chocolate em tablete</t>
        </is>
      </c>
      <c r="D166" s="21" t="n">
        <v>0.213</v>
      </c>
      <c r="E166" s="22" t="inlineStr">
        <is>
          <t>Já no app</t>
        </is>
      </c>
      <c r="F166" s="23" t="inlineStr">
        <is>
          <t>Chocolate, ao leite</t>
        </is>
      </c>
      <c r="G166" s="24" t="n">
        <v>539.59</v>
      </c>
      <c r="H166" s="25" t="n">
        <v>7.22</v>
      </c>
      <c r="I166" s="25" t="n">
        <v>59.58</v>
      </c>
      <c r="J166" s="25" t="n">
        <v>30.27</v>
      </c>
      <c r="K166" s="25" t="n">
        <v>2.17</v>
      </c>
      <c r="L166" s="24" t="n">
        <v>77.09999999999999</v>
      </c>
      <c r="M166" s="23" t="inlineStr">
        <is>
          <t>TACO (já no app)</t>
        </is>
      </c>
      <c r="N166" s="23" t="inlineStr"/>
    </row>
    <row r="167">
      <c r="A167" s="18" t="inlineStr">
        <is>
          <t>Açúcares, doces e produtos de confeitaria</t>
        </is>
      </c>
      <c r="B167" s="19" t="n">
        <v>7</v>
      </c>
      <c r="C167" s="20" t="inlineStr">
        <is>
          <t>Doce de fruta em pasta</t>
        </is>
      </c>
      <c r="D167" s="21" t="n">
        <v>0.193</v>
      </c>
      <c r="E167" s="22" t="inlineStr">
        <is>
          <t>Já no app</t>
        </is>
      </c>
      <c r="F167" s="23" t="inlineStr">
        <is>
          <t>Doce, de abóbora, cremoso</t>
        </is>
      </c>
      <c r="G167" s="24" t="n">
        <v>198.94</v>
      </c>
      <c r="H167" s="25" t="n">
        <v>0.92</v>
      </c>
      <c r="I167" s="25" t="n">
        <v>54.61</v>
      </c>
      <c r="J167" s="25" t="n">
        <v>0.21</v>
      </c>
      <c r="K167" s="25" t="n">
        <v>2.28</v>
      </c>
      <c r="L167" s="24" t="n">
        <v>0</v>
      </c>
      <c r="M167" s="23" t="inlineStr">
        <is>
          <t>TACO (já no app)</t>
        </is>
      </c>
      <c r="N167" s="23" t="inlineStr"/>
    </row>
    <row r="168">
      <c r="A168" s="18" t="inlineStr">
        <is>
          <t>Açúcares, doces e produtos de confeitaria</t>
        </is>
      </c>
      <c r="B168" s="19" t="n">
        <v>8</v>
      </c>
      <c r="C168" s="20" t="inlineStr">
        <is>
          <t>Açúcar demerara</t>
        </is>
      </c>
      <c r="D168" s="21" t="n">
        <v>0.176</v>
      </c>
      <c r="E168" s="22" t="inlineStr">
        <is>
          <t>Já no app</t>
        </is>
      </c>
      <c r="F168" s="23" t="inlineStr">
        <is>
          <t>Açúcar, cristal</t>
        </is>
      </c>
      <c r="G168" s="24" t="n">
        <v>386.85</v>
      </c>
      <c r="H168" s="25" t="n">
        <v>0.32</v>
      </c>
      <c r="I168" s="25" t="n">
        <v>99.61</v>
      </c>
      <c r="J168" s="25" t="n">
        <v>0</v>
      </c>
      <c r="K168" s="25" t="n"/>
      <c r="L168" s="24" t="n">
        <v>0</v>
      </c>
      <c r="M168" s="23" t="inlineStr">
        <is>
          <t>TACO (já no app)</t>
        </is>
      </c>
      <c r="N168" s="23" t="inlineStr"/>
    </row>
    <row r="169">
      <c r="A169" s="12" t="inlineStr">
        <is>
          <t>Açúcares, doces e produtos de confeitaria</t>
        </is>
      </c>
      <c r="B169" s="13" t="n">
        <v>9</v>
      </c>
      <c r="C169" s="14" t="inlineStr">
        <is>
          <t>Bombom</t>
        </is>
      </c>
      <c r="D169" s="15" t="n">
        <v>0.153</v>
      </c>
      <c r="E169" s="12" t="inlineStr">
        <is>
          <t>Falta subir</t>
        </is>
      </c>
      <c r="F169" s="14" t="inlineStr"/>
      <c r="G169" s="16" t="n">
        <v>548</v>
      </c>
      <c r="H169" s="17" t="n">
        <v>6.15</v>
      </c>
      <c r="I169" s="17" t="n">
        <v>60.9</v>
      </c>
      <c r="J169" s="17" t="n">
        <v>31.5</v>
      </c>
      <c r="K169" s="17" t="n">
        <v>1.92</v>
      </c>
      <c r="L169" s="16" t="n">
        <v>77.5</v>
      </c>
      <c r="M169" s="14" t="inlineStr">
        <is>
          <t>TBCA (bombom chocolate ao leite)</t>
        </is>
      </c>
      <c r="N169" s="14" t="inlineStr"/>
    </row>
    <row r="170">
      <c r="A170" s="18" t="inlineStr">
        <is>
          <t>Açúcares, doces e produtos de confeitaria</t>
        </is>
      </c>
      <c r="B170" s="19" t="n">
        <v>10</v>
      </c>
      <c r="C170" s="20" t="inlineStr">
        <is>
          <t>Doce a base de leite</t>
        </is>
      </c>
      <c r="D170" s="21" t="n">
        <v>0.095</v>
      </c>
      <c r="E170" s="22" t="inlineStr">
        <is>
          <t>Já no app</t>
        </is>
      </c>
      <c r="F170" s="23" t="inlineStr">
        <is>
          <t>Doce, de leite, cremoso</t>
        </is>
      </c>
      <c r="G170" s="24" t="n">
        <v>306.31</v>
      </c>
      <c r="H170" s="25" t="n">
        <v>5.48</v>
      </c>
      <c r="I170" s="25" t="n">
        <v>59.49</v>
      </c>
      <c r="J170" s="25" t="n">
        <v>5.99</v>
      </c>
      <c r="K170" s="25" t="n"/>
      <c r="L170" s="24" t="n">
        <v>120.09</v>
      </c>
      <c r="M170" s="23" t="inlineStr">
        <is>
          <t>TACO (já no app)</t>
        </is>
      </c>
      <c r="N170" s="23" t="inlineStr"/>
    </row>
    <row r="171">
      <c r="A171" s="18" t="inlineStr">
        <is>
          <t>Açúcares, doces e produtos de confeitaria</t>
        </is>
      </c>
      <c r="B171" s="19" t="n">
        <v>11</v>
      </c>
      <c r="C171" s="20" t="inlineStr">
        <is>
          <t>Rapadura</t>
        </is>
      </c>
      <c r="D171" s="21" t="n">
        <v>0.054</v>
      </c>
      <c r="E171" s="22" t="inlineStr">
        <is>
          <t>Já no app</t>
        </is>
      </c>
      <c r="F171" s="23" t="inlineStr">
        <is>
          <t>Rapadura</t>
        </is>
      </c>
      <c r="G171" s="24" t="n">
        <v>351.96</v>
      </c>
      <c r="H171" s="25" t="n">
        <v>0.99</v>
      </c>
      <c r="I171" s="25" t="n">
        <v>90.79000000000001</v>
      </c>
      <c r="J171" s="25" t="n">
        <v>0.07000000000000001</v>
      </c>
      <c r="K171" s="25" t="n"/>
      <c r="L171" s="24" t="n">
        <v>21.71</v>
      </c>
      <c r="M171" s="23" t="inlineStr">
        <is>
          <t>TACO (já no app)</t>
        </is>
      </c>
      <c r="N171" s="23" t="inlineStr"/>
    </row>
    <row r="172">
      <c r="A172" s="18" t="inlineStr">
        <is>
          <t>Açúcares, doces e produtos de confeitaria</t>
        </is>
      </c>
      <c r="B172" s="19" t="n">
        <v>12</v>
      </c>
      <c r="C172" s="20" t="inlineStr">
        <is>
          <t>Gelatina</t>
        </is>
      </c>
      <c r="D172" s="21" t="n">
        <v>0.037</v>
      </c>
      <c r="E172" s="22" t="inlineStr">
        <is>
          <t>Já no app</t>
        </is>
      </c>
      <c r="F172" s="23" t="inlineStr">
        <is>
          <t>Gelatina, sabores variados, pó</t>
        </is>
      </c>
      <c r="G172" s="24" t="n">
        <v>380.22</v>
      </c>
      <c r="H172" s="25" t="n">
        <v>8.890000000000001</v>
      </c>
      <c r="I172" s="25" t="n">
        <v>89.22</v>
      </c>
      <c r="J172" s="25" t="n">
        <v>0</v>
      </c>
      <c r="K172" s="25" t="n"/>
      <c r="L172" s="24" t="n">
        <v>234.92</v>
      </c>
      <c r="M172" s="23" t="inlineStr">
        <is>
          <t>TACO (já no app)</t>
        </is>
      </c>
      <c r="N172" s="23" t="inlineStr"/>
    </row>
    <row r="173">
      <c r="A173" s="18" t="inlineStr">
        <is>
          <t>Açúcares, doces e produtos de confeitaria</t>
        </is>
      </c>
      <c r="B173" s="19" t="n">
        <v>13</v>
      </c>
      <c r="C173" s="20" t="inlineStr">
        <is>
          <t>Mel de abelha</t>
        </is>
      </c>
      <c r="D173" s="21" t="n">
        <v>0.034</v>
      </c>
      <c r="E173" s="22" t="inlineStr">
        <is>
          <t>Já no app</t>
        </is>
      </c>
      <c r="F173" s="23" t="inlineStr">
        <is>
          <t>Mel, de abelha</t>
        </is>
      </c>
      <c r="G173" s="24" t="n">
        <v>309.24</v>
      </c>
      <c r="H173" s="25" t="n">
        <v>0</v>
      </c>
      <c r="I173" s="25" t="n">
        <v>84.03</v>
      </c>
      <c r="J173" s="25" t="n">
        <v>0</v>
      </c>
      <c r="K173" s="25" t="n"/>
      <c r="L173" s="24" t="n">
        <v>6.04</v>
      </c>
      <c r="M173" s="23" t="inlineStr">
        <is>
          <t>TACO (já no app)</t>
        </is>
      </c>
      <c r="N173" s="23" t="inlineStr"/>
    </row>
    <row r="174">
      <c r="A174" s="18" t="inlineStr">
        <is>
          <t>Açúcares, doces e produtos de confeitaria</t>
        </is>
      </c>
      <c r="B174" s="19" t="n">
        <v>14</v>
      </c>
      <c r="C174" s="20" t="inlineStr">
        <is>
          <t>Doce de fruta em calda</t>
        </is>
      </c>
      <c r="D174" s="21" t="n">
        <v>0.03</v>
      </c>
      <c r="E174" s="22" t="inlineStr">
        <is>
          <t>Já no app</t>
        </is>
      </c>
      <c r="F174" s="23" t="inlineStr">
        <is>
          <t>Doce, de abóbora, cremoso</t>
        </is>
      </c>
      <c r="G174" s="24" t="n">
        <v>198.94</v>
      </c>
      <c r="H174" s="25" t="n">
        <v>0.92</v>
      </c>
      <c r="I174" s="25" t="n">
        <v>54.61</v>
      </c>
      <c r="J174" s="25" t="n">
        <v>0.21</v>
      </c>
      <c r="K174" s="25" t="n">
        <v>2.28</v>
      </c>
      <c r="L174" s="24" t="n">
        <v>0</v>
      </c>
      <c r="M174" s="23" t="inlineStr">
        <is>
          <t>TACO (já no app)</t>
        </is>
      </c>
      <c r="N174" s="23" t="inlineStr"/>
    </row>
    <row r="175">
      <c r="A175" s="18" t="inlineStr">
        <is>
          <t>Açúcares, doces e produtos de confeitaria</t>
        </is>
      </c>
      <c r="B175" s="19" t="n">
        <v>15</v>
      </c>
      <c r="C175" s="20" t="inlineStr">
        <is>
          <t>Doce de fruta cristalizado</t>
        </is>
      </c>
      <c r="D175" s="21" t="n">
        <v>0.007</v>
      </c>
      <c r="E175" s="22" t="inlineStr">
        <is>
          <t>Já no app</t>
        </is>
      </c>
      <c r="F175" s="23" t="inlineStr">
        <is>
          <t>Doce, de abóbora, cremoso</t>
        </is>
      </c>
      <c r="G175" s="24" t="n">
        <v>198.94</v>
      </c>
      <c r="H175" s="25" t="n">
        <v>0.92</v>
      </c>
      <c r="I175" s="25" t="n">
        <v>54.61</v>
      </c>
      <c r="J175" s="25" t="n">
        <v>0.21</v>
      </c>
      <c r="K175" s="25" t="n">
        <v>2.28</v>
      </c>
      <c r="L175" s="24" t="n">
        <v>0</v>
      </c>
      <c r="M175" s="23" t="inlineStr">
        <is>
          <t>TACO (já no app)</t>
        </is>
      </c>
      <c r="N175" s="23" t="inlineStr"/>
    </row>
    <row r="176">
      <c r="A176" s="18" t="inlineStr">
        <is>
          <t>Farinhas, féculas e massas</t>
        </is>
      </c>
      <c r="B176" s="19" t="n">
        <v>1</v>
      </c>
      <c r="C176" s="20" t="inlineStr">
        <is>
          <t>Farinha de mandioca</t>
        </is>
      </c>
      <c r="D176" s="21" t="n">
        <v>2.332</v>
      </c>
      <c r="E176" s="22" t="inlineStr">
        <is>
          <t>Já no app</t>
        </is>
      </c>
      <c r="F176" s="23" t="inlineStr">
        <is>
          <t>Farinha, de mandioca, crua</t>
        </is>
      </c>
      <c r="G176" s="24" t="n">
        <v>360.87</v>
      </c>
      <c r="H176" s="25" t="n">
        <v>1.55</v>
      </c>
      <c r="I176" s="25" t="n">
        <v>87.90000000000001</v>
      </c>
      <c r="J176" s="25" t="n">
        <v>0.28</v>
      </c>
      <c r="K176" s="25" t="n">
        <v>6.39</v>
      </c>
      <c r="L176" s="24" t="n">
        <v>1.02</v>
      </c>
      <c r="M176" s="23" t="inlineStr">
        <is>
          <t>TACO (já no app)</t>
        </is>
      </c>
      <c r="N176" s="23" t="inlineStr"/>
    </row>
    <row r="177">
      <c r="A177" s="18" t="inlineStr">
        <is>
          <t>Farinhas, féculas e massas</t>
        </is>
      </c>
      <c r="B177" s="19" t="n">
        <v>2</v>
      </c>
      <c r="C177" s="20" t="inlineStr">
        <is>
          <t>Farinha de trigo</t>
        </is>
      </c>
      <c r="D177" s="21" t="n">
        <v>2.229</v>
      </c>
      <c r="E177" s="22" t="inlineStr">
        <is>
          <t>Já no app</t>
        </is>
      </c>
      <c r="F177" s="23" t="inlineStr">
        <is>
          <t>Farinha, de trigo</t>
        </is>
      </c>
      <c r="G177" s="24" t="n">
        <v>360.47</v>
      </c>
      <c r="H177" s="25" t="n">
        <v>9.789999999999999</v>
      </c>
      <c r="I177" s="25" t="n">
        <v>75.09</v>
      </c>
      <c r="J177" s="25" t="n">
        <v>1.37</v>
      </c>
      <c r="K177" s="25" t="n">
        <v>2.35</v>
      </c>
      <c r="L177" s="24" t="n">
        <v>0.74</v>
      </c>
      <c r="M177" s="23" t="inlineStr">
        <is>
          <t>TACO (já no app)</t>
        </is>
      </c>
      <c r="N177" s="23" t="inlineStr"/>
    </row>
    <row r="178">
      <c r="A178" s="18" t="inlineStr">
        <is>
          <t>Farinhas, féculas e massas</t>
        </is>
      </c>
      <c r="B178" s="19" t="n">
        <v>3</v>
      </c>
      <c r="C178" s="20" t="inlineStr">
        <is>
          <t>Fubá de milho</t>
        </is>
      </c>
      <c r="D178" s="21" t="n">
        <v>1.285</v>
      </c>
      <c r="E178" s="22" t="inlineStr">
        <is>
          <t>Já no app</t>
        </is>
      </c>
      <c r="F178" s="23" t="inlineStr">
        <is>
          <t>Milho, fubá, cru</t>
        </is>
      </c>
      <c r="G178" s="24" t="n">
        <v>353.48</v>
      </c>
      <c r="H178" s="25" t="n">
        <v>7.21</v>
      </c>
      <c r="I178" s="25" t="n">
        <v>78.87</v>
      </c>
      <c r="J178" s="25" t="n">
        <v>1.9</v>
      </c>
      <c r="K178" s="25" t="n">
        <v>4.71</v>
      </c>
      <c r="L178" s="24" t="n">
        <v>0</v>
      </c>
      <c r="M178" s="23" t="inlineStr">
        <is>
          <t>TACO (já no app)</t>
        </is>
      </c>
      <c r="N178" s="23" t="inlineStr"/>
    </row>
    <row r="179">
      <c r="A179" s="18" t="inlineStr">
        <is>
          <t>Farinhas, féculas e massas</t>
        </is>
      </c>
      <c r="B179" s="19" t="n">
        <v>4</v>
      </c>
      <c r="C179" s="20" t="inlineStr">
        <is>
          <t>Macarrão com ovos</t>
        </is>
      </c>
      <c r="D179" s="21" t="n">
        <v>0.8090000000000001</v>
      </c>
      <c r="E179" s="22" t="inlineStr">
        <is>
          <t>Já no app</t>
        </is>
      </c>
      <c r="F179" s="23" t="inlineStr">
        <is>
          <t>Macarrão, trigo, cru, com ovos</t>
        </is>
      </c>
      <c r="G179" s="24" t="n">
        <v>370.57</v>
      </c>
      <c r="H179" s="25" t="n">
        <v>10.32</v>
      </c>
      <c r="I179" s="25" t="n">
        <v>76.62</v>
      </c>
      <c r="J179" s="25" t="n">
        <v>1.97</v>
      </c>
      <c r="K179" s="25" t="n">
        <v>2.3</v>
      </c>
      <c r="L179" s="24" t="n">
        <v>14.74</v>
      </c>
      <c r="M179" s="23" t="inlineStr">
        <is>
          <t>TACO (já no app)</t>
        </is>
      </c>
      <c r="N179" s="23" t="inlineStr"/>
    </row>
    <row r="180">
      <c r="A180" s="18" t="inlineStr">
        <is>
          <t>Farinhas, féculas e massas</t>
        </is>
      </c>
      <c r="B180" s="19" t="n">
        <v>5</v>
      </c>
      <c r="C180" s="20" t="inlineStr">
        <is>
          <t>Fécula de mandioca</t>
        </is>
      </c>
      <c r="D180" s="21" t="n">
        <v>0.797</v>
      </c>
      <c r="E180" s="22" t="inlineStr">
        <is>
          <t>Já no app</t>
        </is>
      </c>
      <c r="F180" s="23" t="inlineStr">
        <is>
          <t>Fécula, de mandioca</t>
        </is>
      </c>
      <c r="G180" s="24" t="n">
        <v>330.85</v>
      </c>
      <c r="H180" s="25" t="n">
        <v>0.52</v>
      </c>
      <c r="I180" s="25" t="n">
        <v>81.15000000000001</v>
      </c>
      <c r="J180" s="25" t="n">
        <v>0.28</v>
      </c>
      <c r="K180" s="25" t="n">
        <v>0.65</v>
      </c>
      <c r="L180" s="24" t="n">
        <v>2.45</v>
      </c>
      <c r="M180" s="23" t="inlineStr">
        <is>
          <t>TACO (já no app)</t>
        </is>
      </c>
      <c r="N180" s="23" t="inlineStr"/>
    </row>
    <row r="181">
      <c r="A181" s="18" t="inlineStr">
        <is>
          <t>Farinhas, féculas e massas</t>
        </is>
      </c>
      <c r="B181" s="19" t="n">
        <v>6</v>
      </c>
      <c r="C181" s="20" t="inlineStr">
        <is>
          <t>Macarrão sem ovos</t>
        </is>
      </c>
      <c r="D181" s="21" t="n">
        <v>0.775</v>
      </c>
      <c r="E181" s="22" t="inlineStr">
        <is>
          <t>Já no app</t>
        </is>
      </c>
      <c r="F181" s="23" t="inlineStr">
        <is>
          <t>Macarrão, trigo, cru, com ovos</t>
        </is>
      </c>
      <c r="G181" s="24" t="n">
        <v>370.57</v>
      </c>
      <c r="H181" s="25" t="n">
        <v>10.32</v>
      </c>
      <c r="I181" s="25" t="n">
        <v>76.62</v>
      </c>
      <c r="J181" s="25" t="n">
        <v>1.97</v>
      </c>
      <c r="K181" s="25" t="n">
        <v>2.3</v>
      </c>
      <c r="L181" s="24" t="n">
        <v>14.74</v>
      </c>
      <c r="M181" s="23" t="inlineStr">
        <is>
          <t>TACO (já no app)</t>
        </is>
      </c>
      <c r="N181" s="23" t="inlineStr"/>
    </row>
    <row r="182">
      <c r="A182" s="18" t="inlineStr">
        <is>
          <t>Farinhas, féculas e massas</t>
        </is>
      </c>
      <c r="B182" s="19" t="n">
        <v>7</v>
      </c>
      <c r="C182" s="20" t="inlineStr">
        <is>
          <t>Flocos de milho</t>
        </is>
      </c>
      <c r="D182" s="21" t="n">
        <v>0.765</v>
      </c>
      <c r="E182" s="22" t="inlineStr">
        <is>
          <t>Já no app</t>
        </is>
      </c>
      <c r="F182" s="23" t="inlineStr">
        <is>
          <t>Cereal matinal, flocos de milho, açucarado</t>
        </is>
      </c>
      <c r="G182" s="24" t="n">
        <v>375</v>
      </c>
      <c r="H182" s="25" t="n">
        <v>5</v>
      </c>
      <c r="I182" s="25" t="n">
        <v>83</v>
      </c>
      <c r="J182" s="25" t="n">
        <v>1</v>
      </c>
      <c r="K182" s="25" t="n">
        <v>1</v>
      </c>
      <c r="L182" s="24" t="n">
        <v>250</v>
      </c>
      <c r="M182" s="23" t="inlineStr">
        <is>
          <t>adicionado ao app</t>
        </is>
      </c>
      <c r="N182" s="23" t="inlineStr"/>
    </row>
    <row r="183">
      <c r="A183" s="26" t="inlineStr">
        <is>
          <t>Farinhas, féculas e massas</t>
        </is>
      </c>
      <c r="B183" s="27" t="n">
        <v>8</v>
      </c>
      <c r="C183" s="28" t="inlineStr">
        <is>
          <t>Massa de pizza</t>
        </is>
      </c>
      <c r="D183" s="29" t="n">
        <v>0.216</v>
      </c>
      <c r="E183" s="26" t="inlineStr">
        <is>
          <t>Sem fonte</t>
        </is>
      </c>
      <c r="F183" s="28" t="inlineStr"/>
      <c r="G183" s="30" t="n"/>
      <c r="H183" s="31" t="n"/>
      <c r="I183" s="31" t="n"/>
      <c r="J183" s="31" t="n"/>
      <c r="K183" s="31" t="n"/>
      <c r="L183" s="30" t="n"/>
      <c r="M183" s="28" t="inlineStr"/>
      <c r="N183" s="28" t="inlineStr">
        <is>
          <t>USDA só tem pizza pronta de marca; sem dado limpo de massa crua</t>
        </is>
      </c>
    </row>
    <row r="184">
      <c r="A184" s="18" t="inlineStr">
        <is>
          <t>Farinhas, féculas e massas</t>
        </is>
      </c>
      <c r="B184" s="19" t="n">
        <v>9</v>
      </c>
      <c r="C184" s="20" t="inlineStr">
        <is>
          <t>Massa de lasanha</t>
        </is>
      </c>
      <c r="D184" s="21" t="n">
        <v>0.195</v>
      </c>
      <c r="E184" s="22" t="inlineStr">
        <is>
          <t>Já no app</t>
        </is>
      </c>
      <c r="F184" s="23" t="inlineStr">
        <is>
          <t>Lasanha, massa fresca, cozida</t>
        </is>
      </c>
      <c r="G184" s="24" t="n">
        <v>163.76</v>
      </c>
      <c r="H184" s="25" t="n">
        <v>5.81</v>
      </c>
      <c r="I184" s="25" t="n">
        <v>32.52</v>
      </c>
      <c r="J184" s="25" t="n">
        <v>1.16</v>
      </c>
      <c r="K184" s="25" t="n">
        <v>1.64</v>
      </c>
      <c r="L184" s="24" t="n">
        <v>206.77</v>
      </c>
      <c r="M184" s="23" t="inlineStr">
        <is>
          <t>TACO (já no app)</t>
        </is>
      </c>
      <c r="N184" s="23" t="inlineStr"/>
    </row>
    <row r="185">
      <c r="A185" s="18" t="inlineStr">
        <is>
          <t>Farinhas, féculas e massas</t>
        </is>
      </c>
      <c r="B185" s="19" t="n">
        <v>10</v>
      </c>
      <c r="C185" s="20" t="inlineStr">
        <is>
          <t>Massa de pastel</t>
        </is>
      </c>
      <c r="D185" s="21" t="n">
        <v>0.138</v>
      </c>
      <c r="E185" s="22" t="inlineStr">
        <is>
          <t>Já no app</t>
        </is>
      </c>
      <c r="F185" s="23" t="inlineStr">
        <is>
          <t>Pastel, massa, crua</t>
        </is>
      </c>
      <c r="G185" s="24" t="n">
        <v>310.2</v>
      </c>
      <c r="H185" s="25" t="n">
        <v>6.9</v>
      </c>
      <c r="I185" s="25" t="n">
        <v>57.38</v>
      </c>
      <c r="J185" s="25" t="n">
        <v>5.48</v>
      </c>
      <c r="K185" s="25" t="n">
        <v>1.41</v>
      </c>
      <c r="L185" s="24" t="n">
        <v>1344.2</v>
      </c>
      <c r="M185" s="23" t="inlineStr">
        <is>
          <t>TACO (já no app)</t>
        </is>
      </c>
      <c r="N185" s="23" t="inlineStr"/>
    </row>
    <row r="186">
      <c r="A186" s="18" t="inlineStr">
        <is>
          <t>Farinhas, féculas e massas</t>
        </is>
      </c>
      <c r="B186" s="19" t="n">
        <v>11</v>
      </c>
      <c r="C186" s="20" t="inlineStr">
        <is>
          <t>Creme de arroz</t>
        </is>
      </c>
      <c r="D186" s="21" t="n">
        <v>0.135</v>
      </c>
      <c r="E186" s="22" t="inlineStr">
        <is>
          <t>Já no app</t>
        </is>
      </c>
      <c r="F186" s="23" t="inlineStr">
        <is>
          <t>Creme de arroz, pó</t>
        </is>
      </c>
      <c r="G186" s="24" t="n">
        <v>386</v>
      </c>
      <c r="H186" s="25" t="n">
        <v>7.03</v>
      </c>
      <c r="I186" s="25" t="n">
        <v>83.87</v>
      </c>
      <c r="J186" s="25" t="n">
        <v>1.23</v>
      </c>
      <c r="K186" s="25" t="n">
        <v>1.07</v>
      </c>
      <c r="L186" s="24" t="n">
        <v>1.03</v>
      </c>
      <c r="M186" s="23" t="inlineStr">
        <is>
          <t>TACO (já no app)</t>
        </is>
      </c>
      <c r="N186" s="23" t="inlineStr"/>
    </row>
    <row r="187">
      <c r="A187" s="18" t="inlineStr">
        <is>
          <t>Farinhas, féculas e massas</t>
        </is>
      </c>
      <c r="B187" s="19" t="n">
        <v>12</v>
      </c>
      <c r="C187" s="20" t="inlineStr">
        <is>
          <t>Flocos de outros cereais</t>
        </is>
      </c>
      <c r="D187" s="21" t="n">
        <v>0.131</v>
      </c>
      <c r="E187" s="22" t="inlineStr">
        <is>
          <t>Já no app</t>
        </is>
      </c>
      <c r="F187" s="23" t="inlineStr">
        <is>
          <t>Cereais, milho, flocos / Aveia, flocos, crua</t>
        </is>
      </c>
      <c r="G187" s="24" t="n"/>
      <c r="H187" s="25" t="n"/>
      <c r="I187" s="25" t="n"/>
      <c r="J187" s="25" t="n"/>
      <c r="K187" s="25" t="n"/>
      <c r="L187" s="24" t="n"/>
      <c r="M187" s="23" t="inlineStr">
        <is>
          <t>já no app (equivalente)</t>
        </is>
      </c>
      <c r="N187" s="23" t="inlineStr">
        <is>
          <t>Cereais, milho, flocos / Aveia, flocos, crua</t>
        </is>
      </c>
    </row>
    <row r="188">
      <c r="A188" s="18" t="inlineStr">
        <is>
          <t>Farinhas, féculas e massas</t>
        </is>
      </c>
      <c r="B188" s="19" t="n">
        <v>13</v>
      </c>
      <c r="C188" s="20" t="inlineStr">
        <is>
          <t>Amido de milho</t>
        </is>
      </c>
      <c r="D188" s="21" t="n">
        <v>0.074</v>
      </c>
      <c r="E188" s="22" t="inlineStr">
        <is>
          <t>Já no app</t>
        </is>
      </c>
      <c r="F188" s="23" t="inlineStr">
        <is>
          <t>Milho, amido, cru</t>
        </is>
      </c>
      <c r="G188" s="24" t="n">
        <v>361.37</v>
      </c>
      <c r="H188" s="25" t="n">
        <v>0.6</v>
      </c>
      <c r="I188" s="25" t="n">
        <v>87.15000000000001</v>
      </c>
      <c r="J188" s="25" t="n">
        <v>0</v>
      </c>
      <c r="K188" s="25" t="n">
        <v>0.74</v>
      </c>
      <c r="L188" s="24" t="n">
        <v>8.08</v>
      </c>
      <c r="M188" s="23" t="inlineStr">
        <is>
          <t>TACO (já no app)</t>
        </is>
      </c>
      <c r="N188" s="23" t="inlineStr"/>
    </row>
    <row r="189">
      <c r="A189" s="18" t="inlineStr">
        <is>
          <t>Farinhas, féculas e massas</t>
        </is>
      </c>
      <c r="B189" s="19" t="n">
        <v>14</v>
      </c>
      <c r="C189" s="20" t="inlineStr">
        <is>
          <t>Flocos de aveia</t>
        </is>
      </c>
      <c r="D189" s="21" t="n">
        <v>0.068</v>
      </c>
      <c r="E189" s="22" t="inlineStr">
        <is>
          <t>Já no app</t>
        </is>
      </c>
      <c r="F189" s="23" t="inlineStr">
        <is>
          <t>Aveia, flocos, crua</t>
        </is>
      </c>
      <c r="G189" s="24" t="n">
        <v>393.82</v>
      </c>
      <c r="H189" s="25" t="n">
        <v>13.92</v>
      </c>
      <c r="I189" s="25" t="n">
        <v>66.64</v>
      </c>
      <c r="J189" s="25" t="n">
        <v>8.5</v>
      </c>
      <c r="K189" s="25" t="n">
        <v>9.130000000000001</v>
      </c>
      <c r="L189" s="24" t="n">
        <v>4.63</v>
      </c>
      <c r="M189" s="23" t="inlineStr">
        <is>
          <t>TACO (já no app)</t>
        </is>
      </c>
      <c r="N189" s="23" t="inlineStr"/>
    </row>
    <row r="190">
      <c r="A190" s="18" t="inlineStr">
        <is>
          <t>Farinhas, féculas e massas</t>
        </is>
      </c>
      <c r="B190" s="19" t="n">
        <v>15</v>
      </c>
      <c r="C190" s="20" t="inlineStr">
        <is>
          <t>Farinha de rosca</t>
        </is>
      </c>
      <c r="D190" s="21" t="n">
        <v>0.062</v>
      </c>
      <c r="E190" s="22" t="inlineStr">
        <is>
          <t>Já no app</t>
        </is>
      </c>
      <c r="F190" s="23" t="inlineStr">
        <is>
          <t>Farinha, de rosca</t>
        </is>
      </c>
      <c r="G190" s="24" t="n">
        <v>370.58</v>
      </c>
      <c r="H190" s="25" t="n">
        <v>11.38</v>
      </c>
      <c r="I190" s="25" t="n">
        <v>75.79000000000001</v>
      </c>
      <c r="J190" s="25" t="n">
        <v>1.46</v>
      </c>
      <c r="K190" s="25" t="n">
        <v>4.82</v>
      </c>
      <c r="L190" s="24" t="n">
        <v>332.5</v>
      </c>
      <c r="M190" s="23" t="inlineStr">
        <is>
          <t>TACO (já no app)</t>
        </is>
      </c>
      <c r="N190" s="23" t="inlineStr"/>
    </row>
    <row r="191">
      <c r="A191" s="18" t="inlineStr">
        <is>
          <t>Farinhas, féculas e massas</t>
        </is>
      </c>
      <c r="B191" s="19" t="n">
        <v>16</v>
      </c>
      <c r="C191" s="20" t="inlineStr">
        <is>
          <t>Farinha vitaminada</t>
        </is>
      </c>
      <c r="D191" s="21" t="n">
        <v>0.055</v>
      </c>
      <c r="E191" s="22" t="inlineStr">
        <is>
          <t>Já no app</t>
        </is>
      </c>
      <c r="F191" s="23" t="inlineStr">
        <is>
          <t>Farinha, de arroz, enriquecida</t>
        </is>
      </c>
      <c r="G191" s="24" t="n">
        <v>363.06</v>
      </c>
      <c r="H191" s="25" t="n">
        <v>1.27</v>
      </c>
      <c r="I191" s="25" t="n">
        <v>85.5</v>
      </c>
      <c r="J191" s="25" t="n">
        <v>0.3</v>
      </c>
      <c r="K191" s="25" t="n">
        <v>0.58</v>
      </c>
      <c r="L191" s="24" t="n">
        <v>17.1</v>
      </c>
      <c r="M191" s="23" t="inlineStr">
        <is>
          <t>TACO (já no app)</t>
        </is>
      </c>
      <c r="N191" s="23" t="inlineStr"/>
    </row>
    <row r="192">
      <c r="A192" s="18" t="inlineStr">
        <is>
          <t>Farinhas, féculas e massas</t>
        </is>
      </c>
      <c r="B192" s="19" t="n">
        <v>17</v>
      </c>
      <c r="C192" s="20" t="inlineStr">
        <is>
          <t>Creme de milho</t>
        </is>
      </c>
      <c r="D192" s="21" t="n">
        <v>0.042</v>
      </c>
      <c r="E192" s="22" t="inlineStr">
        <is>
          <t>Já no app</t>
        </is>
      </c>
      <c r="F192" s="23" t="inlineStr">
        <is>
          <t>Creme de milho, pó</t>
        </is>
      </c>
      <c r="G192" s="24" t="n">
        <v>333.03</v>
      </c>
      <c r="H192" s="25" t="n">
        <v>4.82</v>
      </c>
      <c r="I192" s="25" t="n">
        <v>86.15000000000001</v>
      </c>
      <c r="J192" s="25" t="n">
        <v>1.64</v>
      </c>
      <c r="K192" s="25" t="n">
        <v>3.72</v>
      </c>
      <c r="L192" s="24" t="n">
        <v>593.79</v>
      </c>
      <c r="M192" s="23" t="inlineStr">
        <is>
          <t>TACO (já no app)</t>
        </is>
      </c>
      <c r="N192" s="23" t="inlineStr"/>
    </row>
    <row r="193">
      <c r="A193" s="18" t="inlineStr">
        <is>
          <t>Óleos e gorduras</t>
        </is>
      </c>
      <c r="B193" s="19" t="n">
        <v>1</v>
      </c>
      <c r="C193" s="20" t="inlineStr">
        <is>
          <t>Óleo de soja</t>
        </is>
      </c>
      <c r="D193" s="21" t="n">
        <v>4.581</v>
      </c>
      <c r="E193" s="22" t="inlineStr">
        <is>
          <t>Já no app</t>
        </is>
      </c>
      <c r="F193" s="23" t="inlineStr">
        <is>
          <t>Pipoca, com óleo de soja, sem sal</t>
        </is>
      </c>
      <c r="G193" s="24" t="n">
        <v>448.33</v>
      </c>
      <c r="H193" s="25" t="n">
        <v>9.93</v>
      </c>
      <c r="I193" s="25" t="n">
        <v>70.31</v>
      </c>
      <c r="J193" s="25" t="n">
        <v>15.94</v>
      </c>
      <c r="K193" s="25" t="n">
        <v>14.34</v>
      </c>
      <c r="L193" s="24" t="n">
        <v>4.32</v>
      </c>
      <c r="M193" s="23" t="inlineStr">
        <is>
          <t>TACO (já no app)</t>
        </is>
      </c>
      <c r="N193" s="23" t="inlineStr"/>
    </row>
    <row r="194">
      <c r="A194" s="18" t="inlineStr">
        <is>
          <t>Óleos e gorduras</t>
        </is>
      </c>
      <c r="B194" s="19" t="n">
        <v>2</v>
      </c>
      <c r="C194" s="20" t="inlineStr">
        <is>
          <t>Margarina vegetal</t>
        </is>
      </c>
      <c r="D194" s="21" t="n">
        <v>1.229</v>
      </c>
      <c r="E194" s="22" t="inlineStr">
        <is>
          <t>Já no app</t>
        </is>
      </c>
      <c r="F194" s="23" t="inlineStr">
        <is>
          <t>Margarina, com óleo hidrogenado, com sal (65% de lipídeos)</t>
        </is>
      </c>
      <c r="G194" s="24" t="n">
        <v>596.12</v>
      </c>
      <c r="H194" s="25" t="n">
        <v>0</v>
      </c>
      <c r="I194" s="25" t="n">
        <v>0</v>
      </c>
      <c r="J194" s="25" t="n">
        <v>67.43000000000001</v>
      </c>
      <c r="K194" s="25" t="n"/>
      <c r="L194" s="24" t="n">
        <v>894.04</v>
      </c>
      <c r="M194" s="23" t="inlineStr">
        <is>
          <t>TACO (já no app)</t>
        </is>
      </c>
      <c r="N194" s="23" t="inlineStr"/>
    </row>
    <row r="195">
      <c r="A195" s="18" t="inlineStr">
        <is>
          <t>Óleos e gorduras</t>
        </is>
      </c>
      <c r="B195" s="19" t="n">
        <v>3</v>
      </c>
      <c r="C195" s="20" t="inlineStr">
        <is>
          <t>Azeite de oliva</t>
        </is>
      </c>
      <c r="D195" s="21" t="n">
        <v>0.27</v>
      </c>
      <c r="E195" s="22" t="inlineStr">
        <is>
          <t>Já no app</t>
        </is>
      </c>
      <c r="F195" s="23" t="inlineStr">
        <is>
          <t>Azeite, de oliva, extra virgem</t>
        </is>
      </c>
      <c r="G195" s="24" t="n">
        <v>884</v>
      </c>
      <c r="H195" s="25" t="n"/>
      <c r="I195" s="25" t="n"/>
      <c r="J195" s="25" t="n">
        <v>100</v>
      </c>
      <c r="K195" s="25" t="n"/>
      <c r="L195" s="24" t="n"/>
      <c r="M195" s="23" t="inlineStr">
        <is>
          <t>TACO (já no app)</t>
        </is>
      </c>
      <c r="N195" s="23" t="inlineStr"/>
    </row>
    <row r="196">
      <c r="A196" s="18" t="inlineStr">
        <is>
          <t>Óleos e gorduras</t>
        </is>
      </c>
      <c r="B196" s="19" t="n">
        <v>4</v>
      </c>
      <c r="C196" s="20" t="inlineStr">
        <is>
          <t>Óleo de milho</t>
        </is>
      </c>
      <c r="D196" s="21" t="n">
        <v>0.158</v>
      </c>
      <c r="E196" s="22" t="inlineStr">
        <is>
          <t>Já no app</t>
        </is>
      </c>
      <c r="F196" s="23" t="inlineStr">
        <is>
          <t>Óleo, de milho</t>
        </is>
      </c>
      <c r="G196" s="24" t="n">
        <v>884</v>
      </c>
      <c r="H196" s="25" t="n"/>
      <c r="I196" s="25" t="n"/>
      <c r="J196" s="25" t="n">
        <v>100</v>
      </c>
      <c r="K196" s="25" t="n"/>
      <c r="L196" s="24" t="n"/>
      <c r="M196" s="23" t="inlineStr">
        <is>
          <t>TACO (já no app)</t>
        </is>
      </c>
      <c r="N196" s="23" t="inlineStr"/>
    </row>
    <row r="197">
      <c r="A197" s="18" t="inlineStr">
        <is>
          <t>Óleos e gorduras</t>
        </is>
      </c>
      <c r="B197" s="19" t="n">
        <v>5</v>
      </c>
      <c r="C197" s="20" t="inlineStr">
        <is>
          <t>Óleo de girassol</t>
        </is>
      </c>
      <c r="D197" s="21" t="n">
        <v>0.135</v>
      </c>
      <c r="E197" s="22" t="inlineStr">
        <is>
          <t>Já no app</t>
        </is>
      </c>
      <c r="F197" s="23" t="inlineStr">
        <is>
          <t>Óleo, de girassol</t>
        </is>
      </c>
      <c r="G197" s="24" t="n">
        <v>884</v>
      </c>
      <c r="H197" s="25" t="n"/>
      <c r="I197" s="25" t="n"/>
      <c r="J197" s="25" t="n">
        <v>100</v>
      </c>
      <c r="K197" s="25" t="n"/>
      <c r="L197" s="24" t="n"/>
      <c r="M197" s="23" t="inlineStr">
        <is>
          <t>TACO (já no app)</t>
        </is>
      </c>
      <c r="N197" s="23" t="inlineStr"/>
    </row>
    <row r="198">
      <c r="A198" s="12" t="inlineStr">
        <is>
          <t>Óleos e gorduras</t>
        </is>
      </c>
      <c r="B198" s="13" t="n">
        <v>6</v>
      </c>
      <c r="C198" s="14" t="inlineStr">
        <is>
          <t>Banha de porco</t>
        </is>
      </c>
      <c r="D198" s="15" t="n">
        <v>0.082</v>
      </c>
      <c r="E198" s="12" t="inlineStr">
        <is>
          <t>Falta subir</t>
        </is>
      </c>
      <c r="F198" s="14" t="inlineStr"/>
      <c r="G198" s="16" t="n">
        <v>900</v>
      </c>
      <c r="H198" s="17" t="n">
        <v>0</v>
      </c>
      <c r="I198" s="17" t="n">
        <v>0</v>
      </c>
      <c r="J198" s="17" t="n">
        <v>100</v>
      </c>
      <c r="K198" s="17" t="n">
        <v>0</v>
      </c>
      <c r="L198" s="16" t="n">
        <v>0</v>
      </c>
      <c r="M198" s="14" t="inlineStr">
        <is>
          <t>TBCA (conferido: USDA 902/100)</t>
        </is>
      </c>
      <c r="N198" s="14" t="inlineStr"/>
    </row>
    <row r="199">
      <c r="A199" s="18" t="inlineStr">
        <is>
          <t>Óleos e gorduras</t>
        </is>
      </c>
      <c r="B199" s="19" t="n">
        <v>7</v>
      </c>
      <c r="C199" s="20" t="inlineStr">
        <is>
          <t>Óleo de canola</t>
        </is>
      </c>
      <c r="D199" s="21" t="n">
        <v>0.051</v>
      </c>
      <c r="E199" s="22" t="inlineStr">
        <is>
          <t>Já no app</t>
        </is>
      </c>
      <c r="F199" s="23" t="inlineStr">
        <is>
          <t>Óleo, de canola</t>
        </is>
      </c>
      <c r="G199" s="24" t="n">
        <v>884</v>
      </c>
      <c r="H199" s="25" t="n"/>
      <c r="I199" s="25" t="n"/>
      <c r="J199" s="25" t="n">
        <v>100</v>
      </c>
      <c r="K199" s="25" t="n"/>
      <c r="L199" s="24" t="n"/>
      <c r="M199" s="23" t="inlineStr">
        <is>
          <t>TACO (já no app)</t>
        </is>
      </c>
      <c r="N199" s="23" t="inlineStr"/>
    </row>
    <row r="200">
      <c r="A200" s="18" t="inlineStr">
        <is>
          <t>Sais e condimentos</t>
        </is>
      </c>
      <c r="B200" s="19" t="n">
        <v>1</v>
      </c>
      <c r="C200" s="20" t="inlineStr">
        <is>
          <t>Sal refinado</t>
        </is>
      </c>
      <c r="D200" s="21" t="n">
        <v>1.35</v>
      </c>
      <c r="E200" s="22" t="inlineStr">
        <is>
          <t>Já no app</t>
        </is>
      </c>
      <c r="F200" s="23" t="inlineStr">
        <is>
          <t>Sal, dietético</t>
        </is>
      </c>
      <c r="G200" s="24" t="n">
        <v>0</v>
      </c>
      <c r="H200" s="25" t="n"/>
      <c r="I200" s="25" t="n"/>
      <c r="J200" s="25" t="n"/>
      <c r="K200" s="25" t="n"/>
      <c r="L200" s="24" t="n">
        <v>23431.52</v>
      </c>
      <c r="M200" s="23" t="inlineStr">
        <is>
          <t>TACO (já no app)</t>
        </is>
      </c>
      <c r="N200" s="23" t="inlineStr"/>
    </row>
    <row r="201">
      <c r="A201" s="18" t="inlineStr">
        <is>
          <t>Sais e condimentos</t>
        </is>
      </c>
      <c r="B201" s="19" t="n">
        <v>2</v>
      </c>
      <c r="C201" s="20" t="inlineStr">
        <is>
          <t>Molho de tomate</t>
        </is>
      </c>
      <c r="D201" s="21" t="n">
        <v>0.948</v>
      </c>
      <c r="E201" s="22" t="inlineStr">
        <is>
          <t>Já no app</t>
        </is>
      </c>
      <c r="F201" s="23" t="inlineStr">
        <is>
          <t>Molho de tomate, tradicional</t>
        </is>
      </c>
      <c r="G201" s="24" t="n">
        <v>35</v>
      </c>
      <c r="H201" s="25" t="n">
        <v>1.2</v>
      </c>
      <c r="I201" s="25" t="n">
        <v>7</v>
      </c>
      <c r="J201" s="25" t="n">
        <v>0.2</v>
      </c>
      <c r="K201" s="25" t="n">
        <v>1.5</v>
      </c>
      <c r="L201" s="24" t="n">
        <v>400</v>
      </c>
      <c r="M201" s="23" t="inlineStr">
        <is>
          <t>adicionado ao app</t>
        </is>
      </c>
      <c r="N201" s="23" t="inlineStr"/>
    </row>
    <row r="202">
      <c r="A202" s="18" t="inlineStr">
        <is>
          <t>Sais e condimentos</t>
        </is>
      </c>
      <c r="B202" s="19" t="n">
        <v>3</v>
      </c>
      <c r="C202" s="20" t="inlineStr">
        <is>
          <t>Maionese</t>
        </is>
      </c>
      <c r="D202" s="21" t="n">
        <v>0.393</v>
      </c>
      <c r="E202" s="22" t="inlineStr">
        <is>
          <t>Já no app</t>
        </is>
      </c>
      <c r="F202" s="23" t="inlineStr">
        <is>
          <t>Maionese, tradicional com ovos</t>
        </is>
      </c>
      <c r="G202" s="24" t="n">
        <v>302.15</v>
      </c>
      <c r="H202" s="25" t="n">
        <v>0.58</v>
      </c>
      <c r="I202" s="25" t="n">
        <v>7.9</v>
      </c>
      <c r="J202" s="25" t="n">
        <v>30.5</v>
      </c>
      <c r="K202" s="25" t="n"/>
      <c r="L202" s="24" t="n">
        <v>786.83</v>
      </c>
      <c r="M202" s="23" t="inlineStr">
        <is>
          <t>TACO (já no app)</t>
        </is>
      </c>
      <c r="N202" s="23" t="inlineStr"/>
    </row>
    <row r="203">
      <c r="A203" s="18" t="inlineStr">
        <is>
          <t>Sais e condimentos</t>
        </is>
      </c>
      <c r="B203" s="19" t="n">
        <v>4</v>
      </c>
      <c r="C203" s="20" t="inlineStr">
        <is>
          <t>Massa de tomate</t>
        </is>
      </c>
      <c r="D203" s="21" t="n">
        <v>0.368</v>
      </c>
      <c r="E203" s="22" t="inlineStr">
        <is>
          <t>Já no app</t>
        </is>
      </c>
      <c r="F203" s="23" t="inlineStr">
        <is>
          <t>Tomate, extrato / Tomate, purê</t>
        </is>
      </c>
      <c r="G203" s="24" t="n"/>
      <c r="H203" s="25" t="n"/>
      <c r="I203" s="25" t="n"/>
      <c r="J203" s="25" t="n"/>
      <c r="K203" s="25" t="n"/>
      <c r="L203" s="24" t="n"/>
      <c r="M203" s="23" t="inlineStr">
        <is>
          <t>já no app (equivalente)</t>
        </is>
      </c>
      <c r="N203" s="23" t="inlineStr">
        <is>
          <t>Tomate, extrato / Tomate, purê</t>
        </is>
      </c>
    </row>
    <row r="204">
      <c r="A204" s="18" t="inlineStr">
        <is>
          <t>Sais e condimentos</t>
        </is>
      </c>
      <c r="B204" s="19" t="n">
        <v>5</v>
      </c>
      <c r="C204" s="20" t="inlineStr">
        <is>
          <t>Vinagre de álcool</t>
        </is>
      </c>
      <c r="D204" s="21" t="n">
        <v>0.287</v>
      </c>
      <c r="E204" s="22" t="inlineStr">
        <is>
          <t>Já no app</t>
        </is>
      </c>
      <c r="F204" s="23" t="inlineStr">
        <is>
          <t>Vinagre, branco</t>
        </is>
      </c>
      <c r="G204" s="24" t="n">
        <v>18</v>
      </c>
      <c r="H204" s="25" t="n">
        <v>0</v>
      </c>
      <c r="I204" s="25" t="n">
        <v>0.04</v>
      </c>
      <c r="J204" s="25" t="n">
        <v>0</v>
      </c>
      <c r="K204" s="25" t="n">
        <v>0</v>
      </c>
      <c r="L204" s="24" t="n">
        <v>2</v>
      </c>
      <c r="M204" s="23" t="inlineStr">
        <is>
          <t>adicionado ao app</t>
        </is>
      </c>
      <c r="N204" s="23" t="inlineStr"/>
    </row>
    <row r="205">
      <c r="A205" s="18" t="inlineStr">
        <is>
          <t>Sais e condimentos</t>
        </is>
      </c>
      <c r="B205" s="19" t="n">
        <v>6</v>
      </c>
      <c r="C205" s="20" t="inlineStr">
        <is>
          <t>Sal grosso</t>
        </is>
      </c>
      <c r="D205" s="21" t="n">
        <v>0.153</v>
      </c>
      <c r="E205" s="22" t="inlineStr">
        <is>
          <t>Já no app</t>
        </is>
      </c>
      <c r="F205" s="23" t="inlineStr">
        <is>
          <t>Sal, grosso</t>
        </is>
      </c>
      <c r="G205" s="24" t="n">
        <v>0</v>
      </c>
      <c r="H205" s="25" t="n"/>
      <c r="I205" s="25" t="n"/>
      <c r="J205" s="25" t="n"/>
      <c r="K205" s="25" t="n"/>
      <c r="L205" s="24" t="n">
        <v>39943.2</v>
      </c>
      <c r="M205" s="23" t="inlineStr">
        <is>
          <t>TACO (já no app)</t>
        </is>
      </c>
      <c r="N205" s="23" t="inlineStr"/>
    </row>
    <row r="206">
      <c r="A206" s="18" t="inlineStr">
        <is>
          <t>Sais e condimentos</t>
        </is>
      </c>
      <c r="B206" s="19" t="n">
        <v>7</v>
      </c>
      <c r="C206" s="20" t="inlineStr">
        <is>
          <t>Tempero misto</t>
        </is>
      </c>
      <c r="D206" s="21" t="n">
        <v>0.117</v>
      </c>
      <c r="E206" s="22" t="inlineStr">
        <is>
          <t>Já no app</t>
        </is>
      </c>
      <c r="F206" s="23" t="inlineStr">
        <is>
          <t>Tempero a base de sal</t>
        </is>
      </c>
      <c r="G206" s="24" t="n">
        <v>21.33</v>
      </c>
      <c r="H206" s="25" t="n">
        <v>2.67</v>
      </c>
      <c r="I206" s="25" t="n">
        <v>2.07</v>
      </c>
      <c r="J206" s="25" t="n">
        <v>0.26</v>
      </c>
      <c r="K206" s="25" t="n">
        <v>0.5600000000000001</v>
      </c>
      <c r="L206" s="24" t="n">
        <v>32560</v>
      </c>
      <c r="M206" s="23" t="inlineStr">
        <is>
          <t>TACO (já no app)</t>
        </is>
      </c>
      <c r="N206" s="23" t="inlineStr"/>
    </row>
    <row r="207">
      <c r="A207" s="18" t="inlineStr">
        <is>
          <t>Sais e condimentos</t>
        </is>
      </c>
      <c r="B207" s="19" t="n">
        <v>8</v>
      </c>
      <c r="C207" s="20" t="inlineStr">
        <is>
          <t>Leite de coco</t>
        </is>
      </c>
      <c r="D207" s="21" t="n">
        <v>0.066</v>
      </c>
      <c r="E207" s="22" t="inlineStr">
        <is>
          <t>Já no app</t>
        </is>
      </c>
      <c r="F207" s="23" t="inlineStr">
        <is>
          <t>Leite, de coco</t>
        </is>
      </c>
      <c r="G207" s="24" t="n">
        <v>166.16</v>
      </c>
      <c r="H207" s="25" t="n">
        <v>1.01</v>
      </c>
      <c r="I207" s="25" t="n">
        <v>2.19</v>
      </c>
      <c r="J207" s="25" t="n">
        <v>18.36</v>
      </c>
      <c r="K207" s="25" t="n">
        <v>0.68</v>
      </c>
      <c r="L207" s="24" t="n">
        <v>44.29</v>
      </c>
      <c r="M207" s="23" t="inlineStr">
        <is>
          <t>TACO (já no app)</t>
        </is>
      </c>
      <c r="N207" s="23" t="inlineStr"/>
    </row>
    <row r="208">
      <c r="A208" s="12" t="inlineStr">
        <is>
          <t>Sais e condimentos</t>
        </is>
      </c>
      <c r="B208" s="13" t="n">
        <v>9</v>
      </c>
      <c r="C208" s="14" t="inlineStr">
        <is>
          <t>Colorau</t>
        </is>
      </c>
      <c r="D208" s="15" t="n">
        <v>0.065</v>
      </c>
      <c r="E208" s="12" t="inlineStr">
        <is>
          <t>Falta subir</t>
        </is>
      </c>
      <c r="F208" s="14" t="inlineStr"/>
      <c r="G208" s="16" t="n">
        <v>318</v>
      </c>
      <c r="H208" s="17" t="n">
        <v>8.67</v>
      </c>
      <c r="I208" s="17" t="n">
        <v>73</v>
      </c>
      <c r="J208" s="17" t="n">
        <v>6.14</v>
      </c>
      <c r="K208" s="17" t="n">
        <v>32.1</v>
      </c>
      <c r="L208" s="16" t="n">
        <v>12.3</v>
      </c>
      <c r="M208" s="14" t="inlineStr">
        <is>
          <t>TBCA (colorífico/urucum em pó)</t>
        </is>
      </c>
      <c r="N208" s="14" t="inlineStr"/>
    </row>
    <row r="209">
      <c r="A209" s="18" t="inlineStr">
        <is>
          <t>Sais e condimentos</t>
        </is>
      </c>
      <c r="B209" s="19" t="n">
        <v>10</v>
      </c>
      <c r="C209" s="20" t="inlineStr">
        <is>
          <t>Vinagre de vinho</t>
        </is>
      </c>
      <c r="D209" s="21" t="n">
        <v>0.061</v>
      </c>
      <c r="E209" s="22" t="inlineStr">
        <is>
          <t>Já no app</t>
        </is>
      </c>
      <c r="F209" s="23" t="inlineStr">
        <is>
          <t>Vinagre, branco</t>
        </is>
      </c>
      <c r="G209" s="24" t="n">
        <v>18</v>
      </c>
      <c r="H209" s="25" t="n">
        <v>0</v>
      </c>
      <c r="I209" s="25" t="n">
        <v>0.04</v>
      </c>
      <c r="J209" s="25" t="n">
        <v>0</v>
      </c>
      <c r="K209" s="25" t="n">
        <v>0</v>
      </c>
      <c r="L209" s="24" t="n">
        <v>2</v>
      </c>
      <c r="M209" s="23" t="inlineStr">
        <is>
          <t>adicionado ao app</t>
        </is>
      </c>
      <c r="N209" s="23" t="inlineStr"/>
    </row>
    <row r="210">
      <c r="A210" s="18" t="inlineStr">
        <is>
          <t>Sais e condimentos</t>
        </is>
      </c>
      <c r="B210" s="19" t="n">
        <v>11</v>
      </c>
      <c r="C210" s="20" t="inlineStr">
        <is>
          <t>Fermento</t>
        </is>
      </c>
      <c r="D210" s="21" t="n">
        <v>0.05</v>
      </c>
      <c r="E210" s="22" t="inlineStr">
        <is>
          <t>Já no app</t>
        </is>
      </c>
      <c r="F210" s="23" t="inlineStr">
        <is>
          <t>Fermento em pó, químico</t>
        </is>
      </c>
      <c r="G210" s="24" t="n">
        <v>89.72</v>
      </c>
      <c r="H210" s="25" t="n">
        <v>0.48</v>
      </c>
      <c r="I210" s="25" t="n">
        <v>43.91</v>
      </c>
      <c r="J210" s="25" t="n">
        <v>0.07000000000000001</v>
      </c>
      <c r="K210" s="25" t="n"/>
      <c r="L210" s="24" t="n">
        <v>10052.41</v>
      </c>
      <c r="M210" s="23" t="inlineStr">
        <is>
          <t>TACO (já no app)</t>
        </is>
      </c>
      <c r="N210" s="23" t="inlineStr"/>
    </row>
    <row r="211">
      <c r="A211" s="18" t="inlineStr">
        <is>
          <t>Sais e condimentos</t>
        </is>
      </c>
      <c r="B211" s="19" t="n">
        <v>12</v>
      </c>
      <c r="C211" s="20" t="inlineStr">
        <is>
          <t>Caldo de galinha em tablete</t>
        </is>
      </c>
      <c r="D211" s="21" t="n">
        <v>0.034</v>
      </c>
      <c r="E211" s="22" t="inlineStr">
        <is>
          <t>Já no app</t>
        </is>
      </c>
      <c r="F211" s="23" t="inlineStr">
        <is>
          <t>Caldo de carne, tablete</t>
        </is>
      </c>
      <c r="G211" s="24" t="n">
        <v>240.62</v>
      </c>
      <c r="H211" s="25" t="n">
        <v>7.82</v>
      </c>
      <c r="I211" s="25" t="n">
        <v>15.05</v>
      </c>
      <c r="J211" s="25" t="n">
        <v>16.57</v>
      </c>
      <c r="K211" s="25" t="n">
        <v>0.58</v>
      </c>
      <c r="L211" s="24" t="n">
        <v>22179.67</v>
      </c>
      <c r="M211" s="23" t="inlineStr">
        <is>
          <t>TACO (já no app)</t>
        </is>
      </c>
      <c r="N211" s="23" t="inlineStr"/>
    </row>
    <row r="212">
      <c r="A212" s="18" t="inlineStr">
        <is>
          <t>Sais e condimentos</t>
        </is>
      </c>
      <c r="B212" s="19" t="n">
        <v>13</v>
      </c>
      <c r="C212" s="20" t="inlineStr">
        <is>
          <t>Caldo de carne em tablete</t>
        </is>
      </c>
      <c r="D212" s="21" t="n">
        <v>0.021</v>
      </c>
      <c r="E212" s="22" t="inlineStr">
        <is>
          <t>Já no app</t>
        </is>
      </c>
      <c r="F212" s="23" t="inlineStr">
        <is>
          <t>Caldo de carne, tablete</t>
        </is>
      </c>
      <c r="G212" s="24" t="n">
        <v>240.62</v>
      </c>
      <c r="H212" s="25" t="n">
        <v>7.82</v>
      </c>
      <c r="I212" s="25" t="n">
        <v>15.05</v>
      </c>
      <c r="J212" s="25" t="n">
        <v>16.57</v>
      </c>
      <c r="K212" s="25" t="n">
        <v>0.58</v>
      </c>
      <c r="L212" s="24" t="n">
        <v>22179.67</v>
      </c>
      <c r="M212" s="23" t="inlineStr">
        <is>
          <t>TACO (já no app)</t>
        </is>
      </c>
      <c r="N212" s="23" t="inlineStr"/>
    </row>
    <row r="213">
      <c r="A213" s="18" t="inlineStr">
        <is>
          <t>Alimentos preparados e misturas industriais</t>
        </is>
      </c>
      <c r="B213" s="19" t="n">
        <v>1</v>
      </c>
      <c r="C213" s="20" t="inlineStr">
        <is>
          <t>Massa</t>
        </is>
      </c>
      <c r="D213" s="21" t="n">
        <v>0.667</v>
      </c>
      <c r="E213" s="22" t="inlineStr">
        <is>
          <t>Já no app</t>
        </is>
      </c>
      <c r="F213" s="23" t="inlineStr">
        <is>
          <t>Lasanha, massa fresca, cozida</t>
        </is>
      </c>
      <c r="G213" s="24" t="n">
        <v>163.76</v>
      </c>
      <c r="H213" s="25" t="n">
        <v>5.81</v>
      </c>
      <c r="I213" s="25" t="n">
        <v>32.52</v>
      </c>
      <c r="J213" s="25" t="n">
        <v>1.16</v>
      </c>
      <c r="K213" s="25" t="n">
        <v>1.64</v>
      </c>
      <c r="L213" s="24" t="n">
        <v>206.77</v>
      </c>
      <c r="M213" s="23" t="inlineStr">
        <is>
          <t>TACO (já no app)</t>
        </is>
      </c>
      <c r="N213" s="23" t="inlineStr"/>
    </row>
    <row r="214">
      <c r="A214" s="18" t="inlineStr">
        <is>
          <t>Alimentos preparados e misturas industriais</t>
        </is>
      </c>
      <c r="B214" s="19" t="n">
        <v>2</v>
      </c>
      <c r="C214" s="20" t="inlineStr">
        <is>
          <t>Frango assado ou defumado</t>
        </is>
      </c>
      <c r="D214" s="21" t="n">
        <v>0.627</v>
      </c>
      <c r="E214" s="22" t="inlineStr">
        <is>
          <t>Já no app</t>
        </is>
      </c>
      <c r="F214" s="23" t="inlineStr">
        <is>
          <t>Frango, asa, com pele, crua</t>
        </is>
      </c>
      <c r="G214" s="24" t="n">
        <v>213.19</v>
      </c>
      <c r="H214" s="25" t="n">
        <v>18.1</v>
      </c>
      <c r="I214" s="25" t="n">
        <v>0</v>
      </c>
      <c r="J214" s="25" t="n">
        <v>15.07</v>
      </c>
      <c r="K214" s="25" t="n"/>
      <c r="L214" s="24" t="n">
        <v>96.3</v>
      </c>
      <c r="M214" s="23" t="inlineStr">
        <is>
          <t>TACO (já no app)</t>
        </is>
      </c>
      <c r="N214" s="23" t="inlineStr"/>
    </row>
    <row r="215">
      <c r="A215" s="18" t="inlineStr">
        <is>
          <t>Alimentos preparados e misturas industriais</t>
        </is>
      </c>
      <c r="B215" s="19" t="n">
        <v>3</v>
      </c>
      <c r="C215" s="20" t="inlineStr">
        <is>
          <t>Salgadinho</t>
        </is>
      </c>
      <c r="D215" s="21" t="n">
        <v>0.244</v>
      </c>
      <c r="E215" s="22" t="inlineStr">
        <is>
          <t>Já no app</t>
        </is>
      </c>
      <c r="F215" s="23" t="inlineStr">
        <is>
          <t>Salgadinho de milho, sabor queijo</t>
        </is>
      </c>
      <c r="G215" s="24" t="n">
        <v>561</v>
      </c>
      <c r="H215" s="25" t="n">
        <v>5.8</v>
      </c>
      <c r="I215" s="25" t="n">
        <v>54.1</v>
      </c>
      <c r="J215" s="25" t="n">
        <v>35.8</v>
      </c>
      <c r="K215" s="25" t="n">
        <v>2.2</v>
      </c>
      <c r="L215" s="24" t="n">
        <v>896</v>
      </c>
      <c r="M215" s="23" t="inlineStr">
        <is>
          <t>adicionado ao app</t>
        </is>
      </c>
      <c r="N215" s="23" t="inlineStr"/>
    </row>
    <row r="216">
      <c r="A216" s="18" t="inlineStr">
        <is>
          <t>Alimentos preparados e misturas industriais</t>
        </is>
      </c>
      <c r="B216" s="19" t="n">
        <v>4</v>
      </c>
      <c r="C216" s="20" t="inlineStr">
        <is>
          <t>Mistura para bolo</t>
        </is>
      </c>
      <c r="D216" s="21" t="n">
        <v>0.226</v>
      </c>
      <c r="E216" s="22" t="inlineStr">
        <is>
          <t>Já no app</t>
        </is>
      </c>
      <c r="F216" s="23" t="inlineStr">
        <is>
          <t>Bolo, mistura para</t>
        </is>
      </c>
      <c r="G216" s="24" t="n">
        <v>418.63</v>
      </c>
      <c r="H216" s="25" t="n">
        <v>6.16</v>
      </c>
      <c r="I216" s="25" t="n">
        <v>84.70999999999999</v>
      </c>
      <c r="J216" s="25" t="n">
        <v>6.13</v>
      </c>
      <c r="K216" s="25" t="n">
        <v>1.7</v>
      </c>
      <c r="L216" s="24" t="n">
        <v>462.88</v>
      </c>
      <c r="M216" s="23" t="inlineStr">
        <is>
          <t>TACO (já no app)</t>
        </is>
      </c>
      <c r="N216" s="23" t="inlineStr"/>
    </row>
    <row r="217">
      <c r="A217" s="18" t="inlineStr">
        <is>
          <t>Alimentos preparados e misturas industriais</t>
        </is>
      </c>
      <c r="B217" s="19" t="n">
        <v>5</v>
      </c>
      <c r="C217" s="20" t="inlineStr">
        <is>
          <t>Batata frita</t>
        </is>
      </c>
      <c r="D217" s="21" t="n">
        <v>0.15</v>
      </c>
      <c r="E217" s="22" t="inlineStr">
        <is>
          <t>Já no app</t>
        </is>
      </c>
      <c r="F217" s="23" t="inlineStr">
        <is>
          <t>Batata, baroa, cozida</t>
        </is>
      </c>
      <c r="G217" s="24" t="n">
        <v>80.12</v>
      </c>
      <c r="H217" s="25" t="n">
        <v>0.85</v>
      </c>
      <c r="I217" s="25" t="n">
        <v>18.95</v>
      </c>
      <c r="J217" s="25" t="n">
        <v>0.17</v>
      </c>
      <c r="K217" s="25" t="n">
        <v>1.76</v>
      </c>
      <c r="L217" s="24" t="n">
        <v>2.1</v>
      </c>
      <c r="M217" s="23" t="inlineStr">
        <is>
          <t>TACO (já no app)</t>
        </is>
      </c>
      <c r="N217" s="23" t="inlineStr"/>
    </row>
    <row r="218">
      <c r="A218" s="18" t="inlineStr">
        <is>
          <t>Alimentos preparados e misturas industriais</t>
        </is>
      </c>
      <c r="B218" s="19" t="n">
        <v>6</v>
      </c>
      <c r="C218" s="20" t="inlineStr">
        <is>
          <t>Carne assada</t>
        </is>
      </c>
      <c r="D218" s="21" t="n">
        <v>0.102</v>
      </c>
      <c r="E218" s="22" t="inlineStr">
        <is>
          <t>Já no app</t>
        </is>
      </c>
      <c r="F218" s="23" t="inlineStr">
        <is>
          <t>Carne, bovina, acém, moído, cozido</t>
        </is>
      </c>
      <c r="G218" s="24" t="n">
        <v>212.42</v>
      </c>
      <c r="H218" s="25" t="n">
        <v>26.69</v>
      </c>
      <c r="I218" s="25" t="n">
        <v>0</v>
      </c>
      <c r="J218" s="25" t="n">
        <v>10.92</v>
      </c>
      <c r="K218" s="25" t="n"/>
      <c r="L218" s="24" t="n">
        <v>52.36</v>
      </c>
      <c r="M218" s="23" t="inlineStr">
        <is>
          <t>TACO (já no app)</t>
        </is>
      </c>
      <c r="N218" s="23" t="inlineStr"/>
    </row>
    <row r="219">
      <c r="A219" s="18" t="inlineStr">
        <is>
          <t>Alimentos preparados e misturas industriais</t>
        </is>
      </c>
      <c r="B219" s="19" t="n">
        <v>7</v>
      </c>
      <c r="C219" s="20" t="inlineStr">
        <is>
          <t>Sanduíche</t>
        </is>
      </c>
      <c r="D219" s="21" t="n">
        <v>0.091</v>
      </c>
      <c r="E219" s="22" t="inlineStr">
        <is>
          <t>Já no app</t>
        </is>
      </c>
      <c r="F219" s="23" t="inlineStr">
        <is>
          <t>Pão de forma, sanduíche, Marilan</t>
        </is>
      </c>
      <c r="G219" s="24" t="n">
        <v>390</v>
      </c>
      <c r="H219" s="25" t="n">
        <v>8.4</v>
      </c>
      <c r="I219" s="25" t="n">
        <v>52</v>
      </c>
      <c r="J219" s="25" t="n">
        <v>2.4</v>
      </c>
      <c r="K219" s="25" t="n">
        <v>2.4</v>
      </c>
      <c r="L219" s="24" t="n">
        <v>330</v>
      </c>
      <c r="M219" s="23" t="inlineStr">
        <is>
          <t>adicionado ao app</t>
        </is>
      </c>
      <c r="N219" s="23" t="inlineStr"/>
    </row>
    <row r="220">
      <c r="A220" s="18" t="inlineStr">
        <is>
          <t>Alimentos preparados e misturas industriais</t>
        </is>
      </c>
      <c r="B220" s="19" t="n">
        <v>8</v>
      </c>
      <c r="C220" s="20" t="inlineStr">
        <is>
          <t>Frango empanado</t>
        </is>
      </c>
      <c r="D220" s="21" t="n">
        <v>0.089</v>
      </c>
      <c r="E220" s="22" t="inlineStr">
        <is>
          <t>Já no app</t>
        </is>
      </c>
      <c r="F220" s="23" t="inlineStr">
        <is>
          <t>Nuggets de frango, empanado, assado</t>
        </is>
      </c>
      <c r="G220" s="24" t="n">
        <v>302</v>
      </c>
      <c r="H220" s="25" t="n">
        <v>18.5</v>
      </c>
      <c r="I220" s="25" t="n">
        <v>27.3</v>
      </c>
      <c r="J220" s="25" t="n">
        <v>12.8</v>
      </c>
      <c r="K220" s="25" t="n">
        <v>1.5</v>
      </c>
      <c r="L220" s="24" t="n">
        <v>580</v>
      </c>
      <c r="M220" s="23" t="inlineStr">
        <is>
          <t>adicionado ao app</t>
        </is>
      </c>
      <c r="N220" s="23" t="inlineStr"/>
    </row>
    <row r="221">
      <c r="A221" s="12" t="inlineStr">
        <is>
          <t>Pescados</t>
        </is>
      </c>
      <c r="B221" s="13" t="n">
        <v>1</v>
      </c>
      <c r="C221" s="14" t="inlineStr">
        <is>
          <t>Tambaqui fresco</t>
        </is>
      </c>
      <c r="D221" s="15" t="n">
        <v>0.18</v>
      </c>
      <c r="E221" s="12" t="inlineStr">
        <is>
          <t>Falta subir</t>
        </is>
      </c>
      <c r="F221" s="14" t="inlineStr"/>
      <c r="G221" s="16" t="n">
        <v>140</v>
      </c>
      <c r="H221" s="17" t="n">
        <v>19.9</v>
      </c>
      <c r="I221" s="17" t="n">
        <v>0</v>
      </c>
      <c r="J221" s="17" t="n">
        <v>6.67</v>
      </c>
      <c r="K221" s="17" t="n">
        <v>0</v>
      </c>
      <c r="L221" s="16" t="n">
        <v>56.7</v>
      </c>
      <c r="M221" s="14" t="inlineStr">
        <is>
          <t>TBCA (tambaqui cru)</t>
        </is>
      </c>
      <c r="N221" s="14" t="inlineStr"/>
    </row>
    <row r="222">
      <c r="A222" s="18" t="inlineStr">
        <is>
          <t>Pescados</t>
        </is>
      </c>
      <c r="B222" s="19" t="n">
        <v>2</v>
      </c>
      <c r="C222" s="20" t="inlineStr">
        <is>
          <t>Tilápia fresca</t>
        </is>
      </c>
      <c r="D222" s="21" t="n">
        <v>0.129</v>
      </c>
      <c r="E222" s="22" t="inlineStr">
        <is>
          <t>Já no app</t>
        </is>
      </c>
      <c r="F222" s="23" t="inlineStr">
        <is>
          <t>Tilápia, filé, cru</t>
        </is>
      </c>
      <c r="G222" s="24" t="n">
        <v>96</v>
      </c>
      <c r="H222" s="25" t="n">
        <v>20.1</v>
      </c>
      <c r="I222" s="25" t="n">
        <v>0</v>
      </c>
      <c r="J222" s="25" t="n">
        <v>1.7</v>
      </c>
      <c r="K222" s="25" t="n">
        <v>0</v>
      </c>
      <c r="L222" s="24" t="n">
        <v>52</v>
      </c>
      <c r="M222" s="23" t="inlineStr">
        <is>
          <t>adicionado ao app</t>
        </is>
      </c>
      <c r="N222" s="23" t="inlineStr"/>
    </row>
    <row r="223">
      <c r="A223" s="18" t="inlineStr">
        <is>
          <t>Pescados</t>
        </is>
      </c>
      <c r="B223" s="19" t="n">
        <v>3</v>
      </c>
      <c r="C223" s="20" t="inlineStr">
        <is>
          <t>Sardinha em conserva</t>
        </is>
      </c>
      <c r="D223" s="21" t="n">
        <v>0.126</v>
      </c>
      <c r="E223" s="22" t="inlineStr">
        <is>
          <t>Já no app</t>
        </is>
      </c>
      <c r="F223" s="23" t="inlineStr">
        <is>
          <t>Sardinha, conserva em óleo</t>
        </is>
      </c>
      <c r="G223" s="24" t="n">
        <v>284.98</v>
      </c>
      <c r="H223" s="25" t="n">
        <v>15.94</v>
      </c>
      <c r="I223" s="25" t="n">
        <v>0</v>
      </c>
      <c r="J223" s="25" t="n">
        <v>24.05</v>
      </c>
      <c r="K223" s="25" t="n"/>
      <c r="L223" s="24" t="n">
        <v>665.84</v>
      </c>
      <c r="M223" s="23" t="inlineStr">
        <is>
          <t>TACO (já no app)</t>
        </is>
      </c>
      <c r="N223" s="23" t="inlineStr"/>
    </row>
    <row r="224">
      <c r="A224" s="18" t="inlineStr">
        <is>
          <t>Pescados</t>
        </is>
      </c>
      <c r="B224" s="19" t="n">
        <v>4</v>
      </c>
      <c r="C224" s="20" t="inlineStr">
        <is>
          <t>Camarão fresco</t>
        </is>
      </c>
      <c r="D224" s="21" t="n">
        <v>0.098</v>
      </c>
      <c r="E224" s="22" t="inlineStr">
        <is>
          <t>Já no app</t>
        </is>
      </c>
      <c r="F224" s="23" t="inlineStr">
        <is>
          <t>Camarão, Rio Grande, grande, cozido</t>
        </is>
      </c>
      <c r="G224" s="24" t="n">
        <v>90.01000000000001</v>
      </c>
      <c r="H224" s="25" t="n">
        <v>18.97</v>
      </c>
      <c r="I224" s="25" t="n">
        <v>0</v>
      </c>
      <c r="J224" s="25" t="n">
        <v>1</v>
      </c>
      <c r="K224" s="25" t="n"/>
      <c r="L224" s="24" t="n">
        <v>366.55</v>
      </c>
      <c r="M224" s="23" t="inlineStr">
        <is>
          <t>TACO (já no app)</t>
        </is>
      </c>
      <c r="N224" s="23" t="inlineStr"/>
    </row>
    <row r="225">
      <c r="A225" s="18" t="inlineStr">
        <is>
          <t>Pescados</t>
        </is>
      </c>
      <c r="B225" s="19" t="n">
        <v>5</v>
      </c>
      <c r="C225" s="20" t="inlineStr">
        <is>
          <t>Corvina fresca</t>
        </is>
      </c>
      <c r="D225" s="21" t="n">
        <v>0.094</v>
      </c>
      <c r="E225" s="22" t="inlineStr">
        <is>
          <t>Já no app</t>
        </is>
      </c>
      <c r="F225" s="23" t="inlineStr">
        <is>
          <t>Corvina de água doce, crua</t>
        </is>
      </c>
      <c r="G225" s="24" t="n">
        <v>101.01</v>
      </c>
      <c r="H225" s="25" t="n">
        <v>18.92</v>
      </c>
      <c r="I225" s="25" t="n">
        <v>0</v>
      </c>
      <c r="J225" s="25" t="n">
        <v>2.24</v>
      </c>
      <c r="K225" s="25" t="n"/>
      <c r="L225" s="24" t="n">
        <v>45.09</v>
      </c>
      <c r="M225" s="23" t="inlineStr">
        <is>
          <t>TACO (já no app)</t>
        </is>
      </c>
      <c r="N225" s="23" t="inlineStr"/>
    </row>
    <row r="226">
      <c r="A226" s="18" t="inlineStr">
        <is>
          <t>Pescados</t>
        </is>
      </c>
      <c r="B226" s="19" t="n">
        <v>6</v>
      </c>
      <c r="C226" s="20" t="inlineStr">
        <is>
          <t>Pescada fresca</t>
        </is>
      </c>
      <c r="D226" s="21" t="n">
        <v>0.09</v>
      </c>
      <c r="E226" s="22" t="inlineStr">
        <is>
          <t>Já no app</t>
        </is>
      </c>
      <c r="F226" s="23" t="inlineStr">
        <is>
          <t>Pescada, branca, crua</t>
        </is>
      </c>
      <c r="G226" s="24" t="n">
        <v>110.88</v>
      </c>
      <c r="H226" s="25" t="n">
        <v>16.26</v>
      </c>
      <c r="I226" s="25" t="n">
        <v>0</v>
      </c>
      <c r="J226" s="25" t="n">
        <v>4.59</v>
      </c>
      <c r="K226" s="25" t="n"/>
      <c r="L226" s="24" t="n">
        <v>76.17</v>
      </c>
      <c r="M226" s="23" t="inlineStr">
        <is>
          <t>TACO (já no app)</t>
        </is>
      </c>
      <c r="N226" s="23" t="inlineStr"/>
    </row>
    <row r="227">
      <c r="A227" s="18" t="inlineStr">
        <is>
          <t>Pescados</t>
        </is>
      </c>
      <c r="B227" s="19" t="n">
        <v>7</v>
      </c>
      <c r="C227" s="20" t="inlineStr">
        <is>
          <t>Sardinha fresca</t>
        </is>
      </c>
      <c r="D227" s="21" t="n">
        <v>0.07099999999999999</v>
      </c>
      <c r="E227" s="22" t="inlineStr">
        <is>
          <t>Já no app</t>
        </is>
      </c>
      <c r="F227" s="23" t="inlineStr">
        <is>
          <t>Sardinha, assada</t>
        </is>
      </c>
      <c r="G227" s="24" t="n">
        <v>164.35</v>
      </c>
      <c r="H227" s="25" t="n">
        <v>32.18</v>
      </c>
      <c r="I227" s="25" t="n">
        <v>0</v>
      </c>
      <c r="J227" s="25" t="n">
        <v>2.99</v>
      </c>
      <c r="K227" s="25" t="n"/>
      <c r="L227" s="24" t="n">
        <v>74.47</v>
      </c>
      <c r="M227" s="23" t="inlineStr">
        <is>
          <t>TACO (já no app)</t>
        </is>
      </c>
      <c r="N227" s="23" t="inlineStr"/>
    </row>
    <row r="228">
      <c r="A228" s="18" t="inlineStr">
        <is>
          <t>Pescados</t>
        </is>
      </c>
      <c r="B228" s="19" t="n">
        <v>8</v>
      </c>
      <c r="C228" s="20" t="inlineStr">
        <is>
          <t>Bacalhau</t>
        </is>
      </c>
      <c r="D228" s="21" t="n">
        <v>0.054</v>
      </c>
      <c r="E228" s="22" t="inlineStr">
        <is>
          <t>Já no app</t>
        </is>
      </c>
      <c r="F228" s="23" t="inlineStr">
        <is>
          <t>Bacalhau, salgado, cru</t>
        </is>
      </c>
      <c r="G228" s="24" t="n">
        <v>135.89</v>
      </c>
      <c r="H228" s="25" t="n">
        <v>29.04</v>
      </c>
      <c r="I228" s="25" t="n">
        <v>0</v>
      </c>
      <c r="J228" s="25" t="n">
        <v>1.32</v>
      </c>
      <c r="K228" s="25" t="n"/>
      <c r="L228" s="24" t="n">
        <v>13585.06</v>
      </c>
      <c r="M228" s="23" t="inlineStr">
        <is>
          <t>TACO (já no app)</t>
        </is>
      </c>
      <c r="N228" s="23" t="inlineStr"/>
    </row>
    <row r="229">
      <c r="A229" s="26" t="inlineStr">
        <is>
          <t>Pescados</t>
        </is>
      </c>
      <c r="B229" s="27" t="n">
        <v>9</v>
      </c>
      <c r="C229" s="28" t="inlineStr">
        <is>
          <t>Jaraqui fresco</t>
        </is>
      </c>
      <c r="D229" s="29" t="n">
        <v>0.051</v>
      </c>
      <c r="E229" s="26" t="inlineStr">
        <is>
          <t>Sem fonte</t>
        </is>
      </c>
      <c r="F229" s="28" t="inlineStr"/>
      <c r="G229" s="30" t="n"/>
      <c r="H229" s="31" t="n"/>
      <c r="I229" s="31" t="n"/>
      <c r="J229" s="31" t="n"/>
      <c r="K229" s="31" t="n"/>
      <c r="L229" s="30" t="n"/>
      <c r="M229" s="28" t="inlineStr"/>
      <c r="N229" s="28" t="inlineStr">
        <is>
          <t>espécie amazônica sem composição publicada na TBCA nem no USDA</t>
        </is>
      </c>
    </row>
    <row r="230">
      <c r="A230" s="12" t="inlineStr">
        <is>
          <t>Pescados</t>
        </is>
      </c>
      <c r="B230" s="13" t="n">
        <v>10</v>
      </c>
      <c r="C230" s="14" t="inlineStr">
        <is>
          <t>Curimatã fresco</t>
        </is>
      </c>
      <c r="D230" s="15" t="n">
        <v>0.048</v>
      </c>
      <c r="E230" s="12" t="inlineStr">
        <is>
          <t>Falta subir</t>
        </is>
      </c>
      <c r="F230" s="14" t="inlineStr"/>
      <c r="G230" s="16" t="n">
        <v>148</v>
      </c>
      <c r="H230" s="17" t="n">
        <v>18</v>
      </c>
      <c r="I230" s="17" t="n">
        <v>0</v>
      </c>
      <c r="J230" s="17" t="n">
        <v>8.42</v>
      </c>
      <c r="K230" s="17" t="n">
        <v>0</v>
      </c>
      <c r="L230" s="16" t="n">
        <v>47</v>
      </c>
      <c r="M230" s="14" t="inlineStr">
        <is>
          <t>TBCA (corimba/curimatã, filé cru)</t>
        </is>
      </c>
      <c r="N230" s="14" t="inlineStr"/>
    </row>
    <row r="231">
      <c r="A231" s="12" t="inlineStr">
        <is>
          <t>Pescados</t>
        </is>
      </c>
      <c r="B231" s="13" t="n">
        <v>11</v>
      </c>
      <c r="C231" s="14" t="inlineStr">
        <is>
          <t>Tainha fresca</t>
        </is>
      </c>
      <c r="D231" s="15" t="n">
        <v>0.042</v>
      </c>
      <c r="E231" s="12" t="inlineStr">
        <is>
          <t>Falta subir</t>
        </is>
      </c>
      <c r="F231" s="14" t="inlineStr"/>
      <c r="G231" s="16" t="n">
        <v>150</v>
      </c>
      <c r="H231" s="17" t="n">
        <v>25.2</v>
      </c>
      <c r="I231" s="17" t="n">
        <v>0</v>
      </c>
      <c r="J231" s="17" t="n">
        <v>5.5</v>
      </c>
      <c r="K231" s="17" t="n">
        <v>0</v>
      </c>
      <c r="L231" s="16" t="n">
        <v>48.6</v>
      </c>
      <c r="M231" s="14" t="inlineStr">
        <is>
          <t>TBCA (tainha, filé cru)</t>
        </is>
      </c>
      <c r="N231" s="14" t="inlineStr"/>
    </row>
    <row r="232">
      <c r="A232" s="12" t="inlineStr">
        <is>
          <t>Pescados</t>
        </is>
      </c>
      <c r="B232" s="13" t="n">
        <v>12</v>
      </c>
      <c r="C232" s="14" t="inlineStr">
        <is>
          <t>Bagre fresco</t>
        </is>
      </c>
      <c r="D232" s="15" t="n">
        <v>0.026</v>
      </c>
      <c r="E232" s="12" t="inlineStr">
        <is>
          <t>Falta subir</t>
        </is>
      </c>
      <c r="F232" s="14" t="inlineStr"/>
      <c r="G232" s="16" t="n">
        <v>119</v>
      </c>
      <c r="H232" s="17" t="n">
        <v>15.2</v>
      </c>
      <c r="I232" s="17" t="n">
        <v>0</v>
      </c>
      <c r="J232" s="17" t="n">
        <v>5.94</v>
      </c>
      <c r="K232" s="17" t="n">
        <v>0</v>
      </c>
      <c r="L232" s="16" t="n">
        <v>98</v>
      </c>
      <c r="M232" s="14" t="inlineStr">
        <is>
          <t>USDA (catfish, channel, farmed, raw)</t>
        </is>
      </c>
      <c r="N232" s="14" t="inlineStr"/>
    </row>
    <row r="233">
      <c r="A233" s="18" t="inlineStr">
        <is>
          <t>Pescados</t>
        </is>
      </c>
      <c r="B233" s="19" t="n">
        <v>13</v>
      </c>
      <c r="C233" s="20" t="inlineStr">
        <is>
          <t>Dourada fresca</t>
        </is>
      </c>
      <c r="D233" s="21" t="n">
        <v>0.023</v>
      </c>
      <c r="E233" s="22" t="inlineStr">
        <is>
          <t>Já no app</t>
        </is>
      </c>
      <c r="F233" s="23" t="inlineStr">
        <is>
          <t>Dourada de água doce, fresca</t>
        </is>
      </c>
      <c r="G233" s="24" t="n">
        <v>131.21</v>
      </c>
      <c r="H233" s="25" t="n">
        <v>18.81</v>
      </c>
      <c r="I233" s="25" t="n">
        <v>0</v>
      </c>
      <c r="J233" s="25" t="n">
        <v>5.64</v>
      </c>
      <c r="K233" s="25" t="n"/>
      <c r="L233" s="24" t="n">
        <v>40.3</v>
      </c>
      <c r="M233" s="23" t="inlineStr">
        <is>
          <t>TACO (já no app)</t>
        </is>
      </c>
      <c r="N233" s="23" t="inlineStr"/>
    </row>
    <row r="234">
      <c r="A234" s="18" t="inlineStr">
        <is>
          <t>Pescados</t>
        </is>
      </c>
      <c r="B234" s="19" t="n">
        <v>14</v>
      </c>
      <c r="C234" s="20" t="inlineStr">
        <is>
          <t>Lambari fresco</t>
        </is>
      </c>
      <c r="D234" s="21" t="n">
        <v>0.022</v>
      </c>
      <c r="E234" s="22" t="inlineStr">
        <is>
          <t>Já no app</t>
        </is>
      </c>
      <c r="F234" s="23" t="inlineStr">
        <is>
          <t>Lambari, congelado, cru</t>
        </is>
      </c>
      <c r="G234" s="24" t="n">
        <v>130.84</v>
      </c>
      <c r="H234" s="25" t="n">
        <v>16.81</v>
      </c>
      <c r="I234" s="25" t="n">
        <v>0</v>
      </c>
      <c r="J234" s="25" t="n">
        <v>6.55</v>
      </c>
      <c r="K234" s="25" t="n"/>
      <c r="L234" s="24" t="n">
        <v>47.92</v>
      </c>
      <c r="M234" s="23" t="inlineStr">
        <is>
          <t>TACO (já no app)</t>
        </is>
      </c>
      <c r="N234" s="23" t="inlineStr"/>
    </row>
    <row r="235">
      <c r="A235" s="26" t="inlineStr">
        <is>
          <t>Pescados</t>
        </is>
      </c>
      <c r="B235" s="27" t="n">
        <v>15</v>
      </c>
      <c r="C235" s="28" t="inlineStr">
        <is>
          <t>Mapará fresco</t>
        </is>
      </c>
      <c r="D235" s="29" t="n">
        <v>0.022</v>
      </c>
      <c r="E235" s="26" t="inlineStr">
        <is>
          <t>Sem fonte</t>
        </is>
      </c>
      <c r="F235" s="28" t="inlineStr"/>
      <c r="G235" s="30" t="n"/>
      <c r="H235" s="31" t="n"/>
      <c r="I235" s="31" t="n"/>
      <c r="J235" s="31" t="n"/>
      <c r="K235" s="31" t="n"/>
      <c r="L235" s="30" t="n"/>
      <c r="M235" s="28" t="inlineStr"/>
      <c r="N235" s="28" t="inlineStr">
        <is>
          <t>espécie amazônica sem composição publicada</t>
        </is>
      </c>
    </row>
    <row r="236">
      <c r="A236" s="18" t="inlineStr">
        <is>
          <t>Pescados</t>
        </is>
      </c>
      <c r="B236" s="19" t="n">
        <v>16</v>
      </c>
      <c r="C236" s="20" t="inlineStr">
        <is>
          <t>Meluza em filé congelado</t>
        </is>
      </c>
      <c r="D236" s="21" t="n">
        <v>0.02</v>
      </c>
      <c r="E236" s="22" t="inlineStr">
        <is>
          <t>Já no app</t>
        </is>
      </c>
      <c r="F236" s="23" t="inlineStr">
        <is>
          <t>Merluza, filé, cru</t>
        </is>
      </c>
      <c r="G236" s="24" t="n"/>
      <c r="H236" s="25" t="n"/>
      <c r="I236" s="25" t="n"/>
      <c r="J236" s="25" t="n"/>
      <c r="K236" s="25" t="n"/>
      <c r="L236" s="24" t="n"/>
      <c r="M236" s="23" t="inlineStr">
        <is>
          <t>já no app (equivalente)</t>
        </is>
      </c>
      <c r="N236" s="23" t="inlineStr">
        <is>
          <t>Merluza, filé, cru — 'meluza' é grafia da POF</t>
        </is>
      </c>
    </row>
    <row r="237">
      <c r="A237" s="26" t="inlineStr">
        <is>
          <t>Pescados</t>
        </is>
      </c>
      <c r="B237" s="27" t="n">
        <v>17</v>
      </c>
      <c r="C237" s="28" t="inlineStr">
        <is>
          <t>Traíra fresca</t>
        </is>
      </c>
      <c r="D237" s="29" t="n">
        <v>0.02</v>
      </c>
      <c r="E237" s="26" t="inlineStr">
        <is>
          <t>Sem fonte</t>
        </is>
      </c>
      <c r="F237" s="28" t="inlineStr"/>
      <c r="G237" s="30" t="n"/>
      <c r="H237" s="31" t="n"/>
      <c r="I237" s="31" t="n"/>
      <c r="J237" s="31" t="n"/>
      <c r="K237" s="31" t="n"/>
      <c r="L237" s="30" t="n"/>
      <c r="M237" s="28" t="inlineStr"/>
      <c r="N237" s="28" t="inlineStr">
        <is>
          <t>espécie sem composição publicada</t>
        </is>
      </c>
    </row>
    <row r="238">
      <c r="A238" s="18" t="inlineStr">
        <is>
          <t>Pescados</t>
        </is>
      </c>
      <c r="B238" s="19" t="n">
        <v>18</v>
      </c>
      <c r="C238" s="20" t="inlineStr">
        <is>
          <t>Surubim fresco</t>
        </is>
      </c>
      <c r="D238" s="21" t="n">
        <v>0.019</v>
      </c>
      <c r="E238" s="22" t="inlineStr">
        <is>
          <t>Já no app</t>
        </is>
      </c>
      <c r="F238" s="23" t="inlineStr">
        <is>
          <t>Pintado, cru</t>
        </is>
      </c>
      <c r="G238" s="24" t="n"/>
      <c r="H238" s="25" t="n"/>
      <c r="I238" s="25" t="n"/>
      <c r="J238" s="25" t="n"/>
      <c r="K238" s="25" t="n"/>
      <c r="L238" s="24" t="n"/>
      <c r="M238" s="23" t="inlineStr">
        <is>
          <t>já no app (equivalente)</t>
        </is>
      </c>
      <c r="N238" s="23" t="inlineStr">
        <is>
          <t>Pintado, cru — pintado e surubim são o mesmo peixe</t>
        </is>
      </c>
    </row>
    <row r="239">
      <c r="A239" s="18" t="inlineStr">
        <is>
          <t>Pescados</t>
        </is>
      </c>
      <c r="B239" s="19" t="n">
        <v>19</v>
      </c>
      <c r="C239" s="20" t="inlineStr">
        <is>
          <t>Tucunaré fresco</t>
        </is>
      </c>
      <c r="D239" s="21" t="n">
        <v>0.019</v>
      </c>
      <c r="E239" s="22" t="inlineStr">
        <is>
          <t>Já no app</t>
        </is>
      </c>
      <c r="F239" s="23" t="inlineStr">
        <is>
          <t>Tucunaré, filé, congelado, cru</t>
        </is>
      </c>
      <c r="G239" s="24" t="n">
        <v>87.69</v>
      </c>
      <c r="H239" s="25" t="n">
        <v>17.96</v>
      </c>
      <c r="I239" s="25" t="n">
        <v>-0.05</v>
      </c>
      <c r="J239" s="25" t="n">
        <v>1.22</v>
      </c>
      <c r="K239" s="25" t="n"/>
      <c r="L239" s="24" t="n">
        <v>56.55</v>
      </c>
      <c r="M239" s="23" t="inlineStr">
        <is>
          <t>TACO (já no app)</t>
        </is>
      </c>
      <c r="N239" s="23" t="inlineStr"/>
    </row>
    <row r="240">
      <c r="A240" s="26" t="inlineStr">
        <is>
          <t>Pescados</t>
        </is>
      </c>
      <c r="B240" s="27" t="n">
        <v>20</v>
      </c>
      <c r="C240" s="28" t="inlineStr">
        <is>
          <t>Acari fresco</t>
        </is>
      </c>
      <c r="D240" s="29" t="n">
        <v>0.018</v>
      </c>
      <c r="E240" s="26" t="inlineStr">
        <is>
          <t>Sem fonte</t>
        </is>
      </c>
      <c r="F240" s="28" t="inlineStr"/>
      <c r="G240" s="30" t="n"/>
      <c r="H240" s="31" t="n"/>
      <c r="I240" s="31" t="n"/>
      <c r="J240" s="31" t="n"/>
      <c r="K240" s="31" t="n"/>
      <c r="L240" s="30" t="n"/>
      <c r="M240" s="28" t="inlineStr"/>
      <c r="N240" s="28" t="inlineStr">
        <is>
          <t>espécie amazônica sem composição publicada</t>
        </is>
      </c>
    </row>
    <row r="241">
      <c r="A241" s="26" t="inlineStr">
        <is>
          <t>Pescados</t>
        </is>
      </c>
      <c r="B241" s="27" t="n">
        <v>21</v>
      </c>
      <c r="C241" s="28" t="inlineStr">
        <is>
          <t>Anujá fresco</t>
        </is>
      </c>
      <c r="D241" s="29" t="n">
        <v>0.018</v>
      </c>
      <c r="E241" s="26" t="inlineStr">
        <is>
          <t>Sem fonte</t>
        </is>
      </c>
      <c r="F241" s="28" t="inlineStr"/>
      <c r="G241" s="30" t="n"/>
      <c r="H241" s="31" t="n"/>
      <c r="I241" s="31" t="n"/>
      <c r="J241" s="31" t="n"/>
      <c r="K241" s="31" t="n"/>
      <c r="L241" s="30" t="n"/>
      <c r="M241" s="28" t="inlineStr"/>
      <c r="N241" s="28" t="inlineStr">
        <is>
          <t>espécie amazônica sem composição publicada</t>
        </is>
      </c>
    </row>
    <row r="242">
      <c r="A242" s="18" t="inlineStr">
        <is>
          <t>Pescados</t>
        </is>
      </c>
      <c r="B242" s="19" t="n">
        <v>22</v>
      </c>
      <c r="C242" s="20" t="inlineStr">
        <is>
          <t>Cação fresco</t>
        </is>
      </c>
      <c r="D242" s="21" t="n">
        <v>0.017</v>
      </c>
      <c r="E242" s="22" t="inlineStr">
        <is>
          <t>Já no app</t>
        </is>
      </c>
      <c r="F242" s="23" t="inlineStr">
        <is>
          <t>Cação, posta, com farinha de trigo, frita</t>
        </is>
      </c>
      <c r="G242" s="24" t="n">
        <v>208.33</v>
      </c>
      <c r="H242" s="25" t="n">
        <v>24.95</v>
      </c>
      <c r="I242" s="25" t="n">
        <v>3.1</v>
      </c>
      <c r="J242" s="25" t="n">
        <v>9.949999999999999</v>
      </c>
      <c r="K242" s="25" t="n">
        <v>0.54</v>
      </c>
      <c r="L242" s="24" t="n">
        <v>160.03</v>
      </c>
      <c r="M242" s="23" t="inlineStr">
        <is>
          <t>TACO (já no app)</t>
        </is>
      </c>
      <c r="N242" s="23" t="inlineStr"/>
    </row>
    <row r="243">
      <c r="A243" s="18" t="inlineStr">
        <is>
          <t>Pescados</t>
        </is>
      </c>
      <c r="B243" s="19" t="n">
        <v>23</v>
      </c>
      <c r="C243" s="20" t="inlineStr">
        <is>
          <t>Merluza em filé fresco</t>
        </is>
      </c>
      <c r="D243" s="21" t="n">
        <v>0.016</v>
      </c>
      <c r="E243" s="22" t="inlineStr">
        <is>
          <t>Já no app</t>
        </is>
      </c>
      <c r="F243" s="23" t="inlineStr">
        <is>
          <t>Merluza, filé, assado</t>
        </is>
      </c>
      <c r="G243" s="24" t="n">
        <v>121.91</v>
      </c>
      <c r="H243" s="25" t="n">
        <v>26.6</v>
      </c>
      <c r="I243" s="25" t="n">
        <v>0</v>
      </c>
      <c r="J243" s="25" t="n">
        <v>0.92</v>
      </c>
      <c r="K243" s="25" t="n"/>
      <c r="L243" s="24" t="n">
        <v>119.95</v>
      </c>
      <c r="M243" s="23" t="inlineStr">
        <is>
          <t>TACO (já no app)</t>
        </is>
      </c>
      <c r="N243" s="23" t="inlineStr"/>
    </row>
    <row r="244">
      <c r="A244" s="18" t="inlineStr">
        <is>
          <t>Pescados</t>
        </is>
      </c>
      <c r="B244" s="19" t="n">
        <v>24</v>
      </c>
      <c r="C244" s="20" t="inlineStr">
        <is>
          <t>Pescadinha fresca</t>
        </is>
      </c>
      <c r="D244" s="21" t="n">
        <v>0.014</v>
      </c>
      <c r="E244" s="22" t="inlineStr">
        <is>
          <t>Já no app</t>
        </is>
      </c>
      <c r="F244" s="23" t="inlineStr">
        <is>
          <t>Pescadinha, crua</t>
        </is>
      </c>
      <c r="G244" s="24" t="n">
        <v>76.41</v>
      </c>
      <c r="H244" s="25" t="n">
        <v>15.48</v>
      </c>
      <c r="I244" s="25" t="n">
        <v>0</v>
      </c>
      <c r="J244" s="25" t="n">
        <v>1.14</v>
      </c>
      <c r="K244" s="25" t="n"/>
      <c r="L244" s="24" t="n">
        <v>120.34</v>
      </c>
      <c r="M244" s="23" t="inlineStr">
        <is>
          <t>TACO (já no app)</t>
        </is>
      </c>
      <c r="N244" s="23" t="inlineStr"/>
    </row>
    <row r="245">
      <c r="A245" s="12" t="inlineStr">
        <is>
          <t>Pescados</t>
        </is>
      </c>
      <c r="B245" s="13" t="n">
        <v>25</v>
      </c>
      <c r="C245" s="14" t="inlineStr">
        <is>
          <t>Anchova fresca</t>
        </is>
      </c>
      <c r="D245" s="15" t="n">
        <v>0.012</v>
      </c>
      <c r="E245" s="12" t="inlineStr">
        <is>
          <t>Falta subir</t>
        </is>
      </c>
      <c r="F245" s="14" t="inlineStr"/>
      <c r="G245" s="16" t="n">
        <v>179</v>
      </c>
      <c r="H245" s="17" t="n">
        <v>16.8</v>
      </c>
      <c r="I245" s="17" t="n">
        <v>0</v>
      </c>
      <c r="J245" s="17" t="n">
        <v>12.4</v>
      </c>
      <c r="K245" s="17" t="n">
        <v>0</v>
      </c>
      <c r="L245" s="16" t="n">
        <v>119</v>
      </c>
      <c r="M245" s="14" t="inlineStr">
        <is>
          <t>TBCA (anchova, filé fresco)</t>
        </is>
      </c>
      <c r="N245" s="14" t="inlineStr"/>
    </row>
    <row r="246">
      <c r="A246" s="18" t="inlineStr">
        <is>
          <t>Pescados</t>
        </is>
      </c>
      <c r="B246" s="19" t="n">
        <v>26</v>
      </c>
      <c r="C246" s="20" t="inlineStr">
        <is>
          <t>Pescada em filé congelado</t>
        </is>
      </c>
      <c r="D246" s="21" t="n">
        <v>0.012</v>
      </c>
      <c r="E246" s="22" t="inlineStr">
        <is>
          <t>Já no app</t>
        </is>
      </c>
      <c r="F246" s="23" t="inlineStr">
        <is>
          <t>Pescada, branca, crua</t>
        </is>
      </c>
      <c r="G246" s="24" t="n">
        <v>110.88</v>
      </c>
      <c r="H246" s="25" t="n">
        <v>16.26</v>
      </c>
      <c r="I246" s="25" t="n">
        <v>0</v>
      </c>
      <c r="J246" s="25" t="n">
        <v>4.59</v>
      </c>
      <c r="K246" s="25" t="n"/>
      <c r="L246" s="24" t="n">
        <v>76.17</v>
      </c>
      <c r="M246" s="23" t="inlineStr">
        <is>
          <t>TACO (já no app)</t>
        </is>
      </c>
      <c r="N246" s="23" t="inlineStr"/>
    </row>
    <row r="247">
      <c r="A247" s="26" t="inlineStr">
        <is>
          <t>Pescados</t>
        </is>
      </c>
      <c r="B247" s="27" t="n">
        <v>27</v>
      </c>
      <c r="C247" s="28" t="inlineStr">
        <is>
          <t>Piau fresco</t>
        </is>
      </c>
      <c r="D247" s="29" t="n">
        <v>0.01</v>
      </c>
      <c r="E247" s="26" t="inlineStr">
        <is>
          <t>Sem fonte</t>
        </is>
      </c>
      <c r="F247" s="28" t="inlineStr"/>
      <c r="G247" s="30" t="n"/>
      <c r="H247" s="31" t="n"/>
      <c r="I247" s="31" t="n"/>
      <c r="J247" s="31" t="n"/>
      <c r="K247" s="31" t="n"/>
      <c r="L247" s="30" t="n"/>
      <c r="M247" s="28" t="inlineStr"/>
      <c r="N247" s="28" t="inlineStr">
        <is>
          <t>espécie sem composição publicada</t>
        </is>
      </c>
    </row>
    <row r="248">
      <c r="A248" s="26" t="inlineStr">
        <is>
          <t>Pescados</t>
        </is>
      </c>
      <c r="B248" s="27" t="n">
        <v>28</v>
      </c>
      <c r="C248" s="28" t="inlineStr">
        <is>
          <t>Acará fresca</t>
        </is>
      </c>
      <c r="D248" s="29" t="n">
        <v>0.008999999999999999</v>
      </c>
      <c r="E248" s="26" t="inlineStr">
        <is>
          <t>Sem fonte</t>
        </is>
      </c>
      <c r="F248" s="28" t="inlineStr"/>
      <c r="G248" s="30" t="n"/>
      <c r="H248" s="31" t="n"/>
      <c r="I248" s="31" t="n"/>
      <c r="J248" s="31" t="n"/>
      <c r="K248" s="31" t="n"/>
      <c r="L248" s="30" t="n"/>
      <c r="M248" s="28" t="inlineStr"/>
      <c r="N248" s="28" t="inlineStr">
        <is>
          <t>espécie amazônica sem composição publicada</t>
        </is>
      </c>
    </row>
    <row r="249">
      <c r="A249" s="18" t="inlineStr">
        <is>
          <t>Pescados</t>
        </is>
      </c>
      <c r="B249" s="19" t="n">
        <v>29</v>
      </c>
      <c r="C249" s="20" t="inlineStr">
        <is>
          <t>Pescada em filé fresco</t>
        </is>
      </c>
      <c r="D249" s="21" t="n">
        <v>0.006</v>
      </c>
      <c r="E249" s="22" t="inlineStr">
        <is>
          <t>Já no app</t>
        </is>
      </c>
      <c r="F249" s="23" t="inlineStr">
        <is>
          <t>Pescada, branca, crua</t>
        </is>
      </c>
      <c r="G249" s="24" t="n">
        <v>110.88</v>
      </c>
      <c r="H249" s="25" t="n">
        <v>16.26</v>
      </c>
      <c r="I249" s="25" t="n">
        <v>0</v>
      </c>
      <c r="J249" s="25" t="n">
        <v>4.59</v>
      </c>
      <c r="K249" s="25" t="n"/>
      <c r="L249" s="24" t="n">
        <v>76.17</v>
      </c>
      <c r="M249" s="23" t="inlineStr">
        <is>
          <t>TACO (já no app)</t>
        </is>
      </c>
      <c r="N249" s="23" t="inlineStr"/>
    </row>
    <row r="250">
      <c r="A250" s="26" t="inlineStr">
        <is>
          <t>Pescados</t>
        </is>
      </c>
      <c r="B250" s="27" t="n">
        <v>30</v>
      </c>
      <c r="C250" s="28" t="inlineStr">
        <is>
          <t>Parati fresco</t>
        </is>
      </c>
      <c r="D250" s="29" t="n">
        <v>0.002</v>
      </c>
      <c r="E250" s="26" t="inlineStr">
        <is>
          <t>Sem fonte</t>
        </is>
      </c>
      <c r="F250" s="28" t="inlineStr"/>
      <c r="G250" s="30" t="n"/>
      <c r="H250" s="31" t="n"/>
      <c r="I250" s="31" t="n"/>
      <c r="J250" s="31" t="n"/>
      <c r="K250" s="31" t="n"/>
      <c r="L250" s="30" t="n"/>
      <c r="M250" s="28" t="inlineStr"/>
      <c r="N250" s="28" t="inlineStr">
        <is>
          <t>espécie sem composição publicada</t>
        </is>
      </c>
    </row>
    <row r="251">
      <c r="A251" s="18" t="inlineStr">
        <is>
          <t>Cocos, castanhas e nozes</t>
        </is>
      </c>
      <c r="B251" s="19" t="n">
        <v>1</v>
      </c>
      <c r="C251" s="20" t="inlineStr">
        <is>
          <t>Açaí (emulsão)</t>
        </is>
      </c>
      <c r="D251" s="21" t="n">
        <v>0.918</v>
      </c>
      <c r="E251" s="22" t="inlineStr">
        <is>
          <t>Já no app</t>
        </is>
      </c>
      <c r="F251" s="23" t="inlineStr">
        <is>
          <t>Açaí, polpa, com xarope de guaraná e glucose</t>
        </is>
      </c>
      <c r="G251" s="24" t="n">
        <v>110.3</v>
      </c>
      <c r="H251" s="25" t="n">
        <v>0.72</v>
      </c>
      <c r="I251" s="25" t="n">
        <v>21.46</v>
      </c>
      <c r="J251" s="25" t="n">
        <v>3.66</v>
      </c>
      <c r="K251" s="25" t="n">
        <v>1.72</v>
      </c>
      <c r="L251" s="24" t="n">
        <v>15.1</v>
      </c>
      <c r="M251" s="23" t="inlineStr">
        <is>
          <t>TACO (já no app)</t>
        </is>
      </c>
      <c r="N251" s="23" t="inlineStr"/>
    </row>
    <row r="252">
      <c r="A252" s="18" t="inlineStr">
        <is>
          <t>Cocos, castanhas e nozes</t>
        </is>
      </c>
      <c r="B252" s="19" t="n">
        <v>2</v>
      </c>
      <c r="C252" s="20" t="inlineStr">
        <is>
          <t>Coco-da-baía</t>
        </is>
      </c>
      <c r="D252" s="21" t="n">
        <v>0.111</v>
      </c>
      <c r="E252" s="22" t="inlineStr">
        <is>
          <t>Já no app</t>
        </is>
      </c>
      <c r="F252" s="23" t="inlineStr">
        <is>
          <t>Coco, água de</t>
        </is>
      </c>
      <c r="G252" s="24" t="n">
        <v>21.51</v>
      </c>
      <c r="H252" s="25" t="n">
        <v>0</v>
      </c>
      <c r="I252" s="25" t="n">
        <v>5.28</v>
      </c>
      <c r="J252" s="25" t="n">
        <v>0</v>
      </c>
      <c r="K252" s="25" t="n">
        <v>0.13</v>
      </c>
      <c r="L252" s="24" t="n">
        <v>1.78</v>
      </c>
      <c r="M252" s="23" t="inlineStr">
        <is>
          <t>TACO (já no app)</t>
        </is>
      </c>
      <c r="N252" s="23" t="inlineStr"/>
    </row>
    <row r="253">
      <c r="A253" s="18" t="inlineStr">
        <is>
          <t>Vísceras</t>
        </is>
      </c>
      <c r="B253" s="19" t="n">
        <v>1</v>
      </c>
      <c r="C253" s="20" t="inlineStr">
        <is>
          <t>Fígado</t>
        </is>
      </c>
      <c r="D253" s="21" t="n">
        <v>0.312</v>
      </c>
      <c r="E253" s="22" t="inlineStr">
        <is>
          <t>Já no app</t>
        </is>
      </c>
      <c r="F253" s="23" t="inlineStr">
        <is>
          <t>Carne, bovina, fígado, cru</t>
        </is>
      </c>
      <c r="G253" s="24" t="n">
        <v>141.05</v>
      </c>
      <c r="H253" s="25" t="n">
        <v>20.71</v>
      </c>
      <c r="I253" s="25" t="n">
        <v>1.11</v>
      </c>
      <c r="J253" s="25" t="n">
        <v>5.36</v>
      </c>
      <c r="K253" s="25" t="n"/>
      <c r="L253" s="24" t="n">
        <v>75.92</v>
      </c>
      <c r="M253" s="23" t="inlineStr">
        <is>
          <t>TACO (já no app)</t>
        </is>
      </c>
      <c r="N253" s="23" t="inlineStr"/>
    </row>
    <row r="254">
      <c r="A254" s="18" t="inlineStr">
        <is>
          <t>Vísceras</t>
        </is>
      </c>
      <c r="B254" s="19" t="n">
        <v>2</v>
      </c>
      <c r="C254" s="20" t="inlineStr">
        <is>
          <t>Bucho</t>
        </is>
      </c>
      <c r="D254" s="21" t="n">
        <v>0.042</v>
      </c>
      <c r="E254" s="22" t="inlineStr">
        <is>
          <t>Já no app</t>
        </is>
      </c>
      <c r="F254" s="23" t="inlineStr">
        <is>
          <t>Carne, bovina, bucho, cozido</t>
        </is>
      </c>
      <c r="G254" s="24" t="n">
        <v>133.02</v>
      </c>
      <c r="H254" s="25" t="n">
        <v>21.64</v>
      </c>
      <c r="I254" s="25" t="n">
        <v>0</v>
      </c>
      <c r="J254" s="25" t="n">
        <v>4.5</v>
      </c>
      <c r="K254" s="25" t="n"/>
      <c r="L254" s="24" t="n">
        <v>38.2</v>
      </c>
      <c r="M254" s="23" t="inlineStr">
        <is>
          <t>TACO (já no app)</t>
        </is>
      </c>
      <c r="N254" s="23" t="inlineStr"/>
    </row>
    <row r="255">
      <c r="A255" s="18" t="inlineStr">
        <is>
          <t>Vísceras</t>
        </is>
      </c>
      <c r="B255" s="19" t="n">
        <v>3</v>
      </c>
      <c r="C255" s="20" t="inlineStr">
        <is>
          <t>Língua</t>
        </is>
      </c>
      <c r="D255" s="21" t="n">
        <v>0.023</v>
      </c>
      <c r="E255" s="22" t="inlineStr">
        <is>
          <t>Já no app</t>
        </is>
      </c>
      <c r="F255" s="23" t="inlineStr">
        <is>
          <t>Carne, bovina, língua, cozida</t>
        </is>
      </c>
      <c r="G255" s="24" t="n">
        <v>314.9</v>
      </c>
      <c r="H255" s="25" t="n">
        <v>21.37</v>
      </c>
      <c r="I255" s="25" t="n">
        <v>0</v>
      </c>
      <c r="J255" s="25" t="n">
        <v>24.8</v>
      </c>
      <c r="K255" s="25" t="n"/>
      <c r="L255" s="24" t="n">
        <v>59.06</v>
      </c>
      <c r="M255" s="23" t="inlineStr">
        <is>
          <t>TACO (já no app)</t>
        </is>
      </c>
      <c r="N255" s="23" t="inlineStr"/>
    </row>
    <row r="257">
      <c r="A257" s="3" t="inlineStr">
        <is>
          <t>LEGENDA</t>
        </is>
      </c>
    </row>
    <row r="258">
      <c r="A258" s="32" t="inlineStr">
        <is>
          <t>Vermelho = já existe no app (não precisa subir)</t>
        </is>
      </c>
    </row>
    <row r="259">
      <c r="A259" s="2" t="inlineStr">
        <is>
          <t>Preto sobre verde = falta subir, com valor já pesquisado</t>
        </is>
      </c>
    </row>
    <row r="260">
      <c r="A260" s="33" t="inlineStr">
        <is>
          <t>Cinza = sem fonte confiável de composição; não recomendo subir</t>
        </is>
      </c>
    </row>
    <row r="262">
      <c r="A262" s="2" t="inlineStr">
        <is>
          <t>Ranking = aquisição alimentar domiciliar per capita anual (kg/pessoa/ano), POF 2017-2018 do IBGE, tabela 2393 do SIDRA — Brasil, todos os produtos.</t>
        </is>
      </c>
    </row>
    <row r="263">
      <c r="A263" s="2" t="inlineStr">
        <is>
          <t>Fonte: https://sidra.ibge.gov.br/tabela/2393 (variável 1207, período 2018)</t>
        </is>
      </c>
    </row>
    <row r="264">
      <c r="A264" s="2" t="inlineStr">
        <is>
          <t>Valores nutricionais por 100 g. Itens já no app trazem o valor que está cadastrado hoje (origem TACO/NEPA-UNICAMP ou levantamento anterior).</t>
        </is>
      </c>
    </row>
  </sheetData>
  <autoFilter ref="A1:N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8" customWidth="1" min="4" max="4"/>
    <col width="11" customWidth="1" min="5" max="5"/>
    <col width="14" customWidth="1" min="6" max="6"/>
    <col width="11" customWidth="1" min="7" max="7"/>
    <col width="9" customWidth="1" min="8" max="8"/>
    <col width="10" customWidth="1" min="9" max="9"/>
    <col width="50" customWidth="1" min="10" max="10"/>
    <col width="14" customWidth="1" min="11" max="11"/>
  </cols>
  <sheetData>
    <row r="1">
      <c r="A1" s="1" t="inlineStr">
        <is>
          <t>Alimentos que faltam no app, com valor nutricional já pesquisado</t>
        </is>
      </c>
    </row>
    <row r="2">
      <c r="A2" s="2" t="inlineStr">
        <is>
          <t>Estes são os únicos itens da POF sem equivalente na base. Confira e me diga quais aprova que eu subo.</t>
        </is>
      </c>
    </row>
    <row r="4" ht="30" customHeight="1">
      <c r="A4" s="11" t="inlineStr">
        <is>
          <t>Grupo (POF)</t>
        </is>
      </c>
      <c r="B4" s="11" t="inlineStr">
        <is>
          <t>Produto</t>
        </is>
      </c>
      <c r="C4" s="11" t="inlineStr">
        <is>
          <t>kg/pessoa/ano</t>
        </is>
      </c>
      <c r="D4" s="11" t="inlineStr">
        <is>
          <t>kcal</t>
        </is>
      </c>
      <c r="E4" s="11" t="inlineStr">
        <is>
          <t>Proteína (g)</t>
        </is>
      </c>
      <c r="F4" s="11" t="inlineStr">
        <is>
          <t>Carboidrato (g)</t>
        </is>
      </c>
      <c r="G4" s="11" t="inlineStr">
        <is>
          <t>Gordura (g)</t>
        </is>
      </c>
      <c r="H4" s="11" t="inlineStr">
        <is>
          <t>Fibra (g)</t>
        </is>
      </c>
      <c r="I4" s="11" t="inlineStr">
        <is>
          <t>Sódio (mg)</t>
        </is>
      </c>
      <c r="J4" s="11" t="inlineStr">
        <is>
          <t>Fonte do valor</t>
        </is>
      </c>
      <c r="K4" s="11" t="inlineStr">
        <is>
          <t>Aprovar? (S/N)</t>
        </is>
      </c>
    </row>
    <row r="5">
      <c r="A5" s="6" t="inlineStr">
        <is>
          <t>Bebidas e infusões</t>
        </is>
      </c>
      <c r="B5" s="6" t="inlineStr">
        <is>
          <t>Água mineral</t>
        </is>
      </c>
      <c r="C5" s="34" t="n">
        <v>25.851</v>
      </c>
      <c r="D5" s="35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5" t="n">
        <v>1</v>
      </c>
      <c r="J5" s="6" t="inlineStr">
        <is>
          <t>Água — sem valor energético</t>
        </is>
      </c>
      <c r="K5" s="37" t="inlineStr"/>
    </row>
    <row r="6">
      <c r="A6" s="6" t="inlineStr">
        <is>
          <t>Panificados</t>
        </is>
      </c>
      <c r="B6" s="6" t="inlineStr">
        <is>
          <t>Rosca doce</t>
        </is>
      </c>
      <c r="C6" s="34" t="n">
        <v>0.195</v>
      </c>
      <c r="D6" s="35" t="n">
        <v>372</v>
      </c>
      <c r="E6" s="36" t="n">
        <v>6.2</v>
      </c>
      <c r="F6" s="36" t="n">
        <v>50.9</v>
      </c>
      <c r="G6" s="36" t="n">
        <v>16.4</v>
      </c>
      <c r="H6" s="36" t="n">
        <v>2.4</v>
      </c>
      <c r="I6" s="35" t="n">
        <v>304</v>
      </c>
      <c r="J6" s="6" t="inlineStr">
        <is>
          <t>USDA (sweet rolls, cinnamon)</t>
        </is>
      </c>
      <c r="K6" s="37" t="inlineStr"/>
    </row>
    <row r="7">
      <c r="A7" s="6" t="inlineStr">
        <is>
          <t>Aves e ovos</t>
        </is>
      </c>
      <c r="B7" s="6" t="inlineStr">
        <is>
          <t>Miúdos de frango</t>
        </is>
      </c>
      <c r="C7" s="34" t="n">
        <v>0.166</v>
      </c>
      <c r="D7" s="35" t="n">
        <v>124</v>
      </c>
      <c r="E7" s="36" t="n">
        <v>17.9</v>
      </c>
      <c r="F7" s="36" t="n">
        <v>1.8</v>
      </c>
      <c r="G7" s="36" t="n">
        <v>4.47</v>
      </c>
      <c r="H7" s="36" t="n">
        <v>0</v>
      </c>
      <c r="I7" s="35" t="n">
        <v>77</v>
      </c>
      <c r="J7" s="6" t="inlineStr">
        <is>
          <t>USDA (chicken giblets, raw)</t>
        </is>
      </c>
      <c r="K7" s="37" t="inlineStr"/>
    </row>
    <row r="8">
      <c r="A8" s="6" t="inlineStr">
        <is>
          <t>Aves e ovos</t>
        </is>
      </c>
      <c r="B8" s="6" t="inlineStr">
        <is>
          <t>Pato inteiro ou em cortes</t>
        </is>
      </c>
      <c r="C8" s="34" t="n">
        <v>0.019</v>
      </c>
      <c r="D8" s="35" t="n">
        <v>130</v>
      </c>
      <c r="E8" s="36" t="n">
        <v>18.3</v>
      </c>
      <c r="F8" s="36" t="n">
        <v>0.89</v>
      </c>
      <c r="G8" s="36" t="n">
        <v>5.95</v>
      </c>
      <c r="H8" s="36" t="n">
        <v>0</v>
      </c>
      <c r="I8" s="35" t="n">
        <v>74</v>
      </c>
      <c r="J8" s="6" t="inlineStr">
        <is>
          <t>TBCA (pato s/ pele, cru)</t>
        </is>
      </c>
      <c r="K8" s="37" t="inlineStr"/>
    </row>
    <row r="9">
      <c r="A9" s="6" t="inlineStr">
        <is>
          <t>Carnes</t>
        </is>
      </c>
      <c r="B9" s="6" t="inlineStr">
        <is>
          <t>Paio</t>
        </is>
      </c>
      <c r="C9" s="34" t="n">
        <v>0.008999999999999999</v>
      </c>
      <c r="D9" s="35" t="n">
        <v>309</v>
      </c>
      <c r="E9" s="36" t="n">
        <v>12</v>
      </c>
      <c r="F9" s="36" t="n">
        <v>0.9399999999999999</v>
      </c>
      <c r="G9" s="36" t="n">
        <v>28.2</v>
      </c>
      <c r="H9" s="36" t="n">
        <v>0</v>
      </c>
      <c r="I9" s="35" t="n">
        <v>827</v>
      </c>
      <c r="J9" s="6" t="inlineStr">
        <is>
          <t>USDA (smoked link sausage, pork) — aproximação</t>
        </is>
      </c>
      <c r="K9" s="37" t="inlineStr"/>
    </row>
    <row r="10">
      <c r="A10" s="6" t="inlineStr">
        <is>
          <t>Açúcares, doces e produtos de confeitaria</t>
        </is>
      </c>
      <c r="B10" s="6" t="inlineStr">
        <is>
          <t>Sorvete</t>
        </is>
      </c>
      <c r="C10" s="34" t="n">
        <v>0.882</v>
      </c>
      <c r="D10" s="35" t="n">
        <v>210</v>
      </c>
      <c r="E10" s="36" t="n">
        <v>3.5</v>
      </c>
      <c r="F10" s="36" t="n">
        <v>26.6</v>
      </c>
      <c r="G10" s="36" t="n">
        <v>10.1</v>
      </c>
      <c r="H10" s="36" t="n">
        <v>0.93</v>
      </c>
      <c r="I10" s="35" t="n">
        <v>60</v>
      </c>
      <c r="J10" s="6" t="inlineStr">
        <is>
          <t>TBCA (conferido: USDA 207/3,5/23,6/11)</t>
        </is>
      </c>
      <c r="K10" s="37" t="inlineStr"/>
    </row>
    <row r="11">
      <c r="A11" s="6" t="inlineStr">
        <is>
          <t>Açúcares, doces e produtos de confeitaria</t>
        </is>
      </c>
      <c r="B11" s="6" t="inlineStr">
        <is>
          <t>Bombom</t>
        </is>
      </c>
      <c r="C11" s="34" t="n">
        <v>0.153</v>
      </c>
      <c r="D11" s="35" t="n">
        <v>548</v>
      </c>
      <c r="E11" s="36" t="n">
        <v>6.15</v>
      </c>
      <c r="F11" s="36" t="n">
        <v>60.9</v>
      </c>
      <c r="G11" s="36" t="n">
        <v>31.5</v>
      </c>
      <c r="H11" s="36" t="n">
        <v>1.92</v>
      </c>
      <c r="I11" s="35" t="n">
        <v>77.5</v>
      </c>
      <c r="J11" s="6" t="inlineStr">
        <is>
          <t>TBCA (bombom chocolate ao leite)</t>
        </is>
      </c>
      <c r="K11" s="37" t="inlineStr"/>
    </row>
    <row r="12">
      <c r="A12" s="6" t="inlineStr">
        <is>
          <t>Óleos e gorduras</t>
        </is>
      </c>
      <c r="B12" s="6" t="inlineStr">
        <is>
          <t>Banha de porco</t>
        </is>
      </c>
      <c r="C12" s="34" t="n">
        <v>0.082</v>
      </c>
      <c r="D12" s="35" t="n">
        <v>900</v>
      </c>
      <c r="E12" s="36" t="n">
        <v>0</v>
      </c>
      <c r="F12" s="36" t="n">
        <v>0</v>
      </c>
      <c r="G12" s="36" t="n">
        <v>100</v>
      </c>
      <c r="H12" s="36" t="n">
        <v>0</v>
      </c>
      <c r="I12" s="35" t="n">
        <v>0</v>
      </c>
      <c r="J12" s="6" t="inlineStr">
        <is>
          <t>TBCA (conferido: USDA 902/100)</t>
        </is>
      </c>
      <c r="K12" s="37" t="inlineStr"/>
    </row>
    <row r="13">
      <c r="A13" s="6" t="inlineStr">
        <is>
          <t>Sais e condimentos</t>
        </is>
      </c>
      <c r="B13" s="6" t="inlineStr">
        <is>
          <t>Colorau</t>
        </is>
      </c>
      <c r="C13" s="34" t="n">
        <v>0.065</v>
      </c>
      <c r="D13" s="35" t="n">
        <v>318</v>
      </c>
      <c r="E13" s="36" t="n">
        <v>8.67</v>
      </c>
      <c r="F13" s="36" t="n">
        <v>73</v>
      </c>
      <c r="G13" s="36" t="n">
        <v>6.14</v>
      </c>
      <c r="H13" s="36" t="n">
        <v>32.1</v>
      </c>
      <c r="I13" s="35" t="n">
        <v>12.3</v>
      </c>
      <c r="J13" s="6" t="inlineStr">
        <is>
          <t>TBCA (colorífico/urucum em pó)</t>
        </is>
      </c>
      <c r="K13" s="37" t="inlineStr"/>
    </row>
    <row r="14">
      <c r="A14" s="6" t="inlineStr">
        <is>
          <t>Pescados</t>
        </is>
      </c>
      <c r="B14" s="6" t="inlineStr">
        <is>
          <t>Tambaqui fresco</t>
        </is>
      </c>
      <c r="C14" s="34" t="n">
        <v>0.18</v>
      </c>
      <c r="D14" s="35" t="n">
        <v>140</v>
      </c>
      <c r="E14" s="36" t="n">
        <v>19.9</v>
      </c>
      <c r="F14" s="36" t="n">
        <v>0</v>
      </c>
      <c r="G14" s="36" t="n">
        <v>6.67</v>
      </c>
      <c r="H14" s="36" t="n">
        <v>0</v>
      </c>
      <c r="I14" s="35" t="n">
        <v>56.7</v>
      </c>
      <c r="J14" s="6" t="inlineStr">
        <is>
          <t>TBCA (tambaqui cru)</t>
        </is>
      </c>
      <c r="K14" s="37" t="inlineStr"/>
    </row>
    <row r="15">
      <c r="A15" s="6" t="inlineStr">
        <is>
          <t>Pescados</t>
        </is>
      </c>
      <c r="B15" s="6" t="inlineStr">
        <is>
          <t>Curimatã fresco</t>
        </is>
      </c>
      <c r="C15" s="34" t="n">
        <v>0.048</v>
      </c>
      <c r="D15" s="35" t="n">
        <v>148</v>
      </c>
      <c r="E15" s="36" t="n">
        <v>18</v>
      </c>
      <c r="F15" s="36" t="n">
        <v>0</v>
      </c>
      <c r="G15" s="36" t="n">
        <v>8.42</v>
      </c>
      <c r="H15" s="36" t="n">
        <v>0</v>
      </c>
      <c r="I15" s="35" t="n">
        <v>47</v>
      </c>
      <c r="J15" s="6" t="inlineStr">
        <is>
          <t>TBCA (corimba/curimatã, filé cru)</t>
        </is>
      </c>
      <c r="K15" s="37" t="inlineStr"/>
    </row>
    <row r="16">
      <c r="A16" s="6" t="inlineStr">
        <is>
          <t>Pescados</t>
        </is>
      </c>
      <c r="B16" s="6" t="inlineStr">
        <is>
          <t>Tainha fresca</t>
        </is>
      </c>
      <c r="C16" s="34" t="n">
        <v>0.042</v>
      </c>
      <c r="D16" s="35" t="n">
        <v>150</v>
      </c>
      <c r="E16" s="36" t="n">
        <v>25.2</v>
      </c>
      <c r="F16" s="36" t="n">
        <v>0</v>
      </c>
      <c r="G16" s="36" t="n">
        <v>5.5</v>
      </c>
      <c r="H16" s="36" t="n">
        <v>0</v>
      </c>
      <c r="I16" s="35" t="n">
        <v>48.6</v>
      </c>
      <c r="J16" s="6" t="inlineStr">
        <is>
          <t>TBCA (tainha, filé cru)</t>
        </is>
      </c>
      <c r="K16" s="37" t="inlineStr"/>
    </row>
    <row r="17">
      <c r="A17" s="6" t="inlineStr">
        <is>
          <t>Pescados</t>
        </is>
      </c>
      <c r="B17" s="6" t="inlineStr">
        <is>
          <t>Bagre fresco</t>
        </is>
      </c>
      <c r="C17" s="34" t="n">
        <v>0.026</v>
      </c>
      <c r="D17" s="35" t="n">
        <v>119</v>
      </c>
      <c r="E17" s="36" t="n">
        <v>15.2</v>
      </c>
      <c r="F17" s="36" t="n">
        <v>0</v>
      </c>
      <c r="G17" s="36" t="n">
        <v>5.94</v>
      </c>
      <c r="H17" s="36" t="n">
        <v>0</v>
      </c>
      <c r="I17" s="35" t="n">
        <v>98</v>
      </c>
      <c r="J17" s="6" t="inlineStr">
        <is>
          <t>USDA (catfish, channel, farmed, raw)</t>
        </is>
      </c>
      <c r="K17" s="37" t="inlineStr"/>
    </row>
    <row r="18">
      <c r="A18" s="6" t="inlineStr">
        <is>
          <t>Pescados</t>
        </is>
      </c>
      <c r="B18" s="6" t="inlineStr">
        <is>
          <t>Anchova fresca</t>
        </is>
      </c>
      <c r="C18" s="34" t="n">
        <v>0.012</v>
      </c>
      <c r="D18" s="35" t="n">
        <v>179</v>
      </c>
      <c r="E18" s="36" t="n">
        <v>16.8</v>
      </c>
      <c r="F18" s="36" t="n">
        <v>0</v>
      </c>
      <c r="G18" s="36" t="n">
        <v>12.4</v>
      </c>
      <c r="H18" s="36" t="n">
        <v>0</v>
      </c>
      <c r="I18" s="35" t="n">
        <v>119</v>
      </c>
      <c r="J18" s="6" t="inlineStr">
        <is>
          <t>TBCA (anchova, filé fresco)</t>
        </is>
      </c>
      <c r="K18" s="37" t="inlineStr"/>
    </row>
    <row r="20">
      <c r="A20" s="2" t="inlineStr">
        <is>
          <t>Amarelo = célula pra você preencher</t>
        </is>
      </c>
    </row>
    <row r="21">
      <c r="A21" s="2" t="inlineStr">
        <is>
          <t>Não entram aqui 9 itens sem fonte confiável de composição (ver aba Alimentos, linhas em cinza): peixes regionais amazônicos e 'massa de pizza'. Prefiro não cadastrar valor que eu não consiga confirmar.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2026-08-15T16:31:06Z</dcterms:created>
  <dcterms:modified xsi:type="dcterms:W3CDTF">2026-08-15T16:31:07Z</dcterms:modified>
</cp:coreProperties>
</file>